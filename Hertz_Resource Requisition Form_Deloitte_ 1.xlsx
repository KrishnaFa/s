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indeloitte-my.sharepoint.com/personal/lsiyadav_ext_deloitte_com/Documents/Desktop/"/>
    </mc:Choice>
  </mc:AlternateContent>
  <xr:revisionPtr revIDLastSave="0" documentId="8_{47FD88B0-0E60-4E17-A18A-FABC0F07A79F}" xr6:coauthVersionLast="47" xr6:coauthVersionMax="47" xr10:uidLastSave="{00000000-0000-0000-0000-000000000000}"/>
  <bookViews>
    <workbookView xWindow="-110" yWindow="-110" windowWidth="19420" windowHeight="11500" xr2:uid="{5D9404F8-F529-3143-A20D-11A15B829BBE}"/>
  </bookViews>
  <sheets>
    <sheet name="Instructions" sheetId="7" r:id="rId1"/>
    <sheet name="Roles Dictionary" sheetId="25" r:id="rId2"/>
    <sheet name="Resource Ramup Plan" sheetId="29" r:id="rId3"/>
    <sheet name="Resource level Tracking" sheetId="27" r:id="rId4"/>
    <sheet name="Dashboard" sheetId="33" r:id="rId5"/>
    <sheet name="Hertz Dashboard" sheetId="40" r:id="rId6"/>
    <sheet name="Levels &amp; Tools" sheetId="22" r:id="rId7"/>
    <sheet name="Resource Request Form" sheetId="1" r:id="rId8"/>
    <sheet name="Master Data" sheetId="5" r:id="rId9"/>
    <sheet name="Propel Level" sheetId="30" state="hidden" r:id="rId10"/>
  </sheets>
  <definedNames>
    <definedName name="_xlnm._FilterDatabase" localSheetId="0" hidden="1">Instructions!$B$4:$E$24</definedName>
    <definedName name="_xlnm._FilterDatabase" localSheetId="8" hidden="1">'Master Data'!$B$1:$B$10</definedName>
    <definedName name="_xlnm._FilterDatabase" localSheetId="3" hidden="1">'Resource level Tracking'!$A$1:$T$301</definedName>
    <definedName name="_xlnm._FilterDatabase" localSheetId="2" hidden="1">'Resource Ramup Plan'!$A$1:$AK$62</definedName>
    <definedName name="_xlnm._FilterDatabase" localSheetId="7" hidden="1">'Resource Request Form'!$W$5:$AC$6</definedName>
    <definedName name="_xlnm._FilterDatabase" localSheetId="1" hidden="1">'Roles Dictionary'!$A$1:$H$68</definedName>
    <definedName name="Agentic_AI_Engineer">'Levels &amp; Tools'!#REF!</definedName>
    <definedName name="AI_Architect">'Levels &amp; Tools'!$I$4:$I$5</definedName>
    <definedName name="AI_Engineer_Principal">'Levels &amp; Tools'!#REF!</definedName>
    <definedName name="AI_Engineering_Manager">'Levels &amp; Tools'!#REF!</definedName>
    <definedName name="AI_Engineering_Senior_Manager">'Levels &amp; Tools'!$F$4</definedName>
    <definedName name="AI_ML_Engineer">'Levels &amp; Tools'!#REF!</definedName>
    <definedName name="Application_Architect">'Levels &amp; Tools'!#REF!</definedName>
    <definedName name="BI_Developer">'Levels &amp; Tools'!#REF!</definedName>
    <definedName name="Business_Analyst">'Levels &amp; Tools'!#REF!</definedName>
    <definedName name="Data_Architect">'Levels &amp; Tools'!#REF!</definedName>
    <definedName name="Data_Engineer">'Levels &amp; Tools'!#REF!</definedName>
    <definedName name="Data_Governance_Engineer">'Levels &amp; Tools'!#REF!</definedName>
    <definedName name="DevOps_Engineer">'Levels &amp; Tools'!#REF!</definedName>
    <definedName name="Engineering_Manager">'Levels &amp; Tools'!#REF!</definedName>
    <definedName name="Full_Stack_Engineer">'Levels &amp; Tools'!$H$4:$H$7</definedName>
    <definedName name="GenAI_Engineer">'Levels &amp; Tools'!#REF!</definedName>
    <definedName name="MLOps_Engineer">'Levels &amp; Tools'!#REF!</definedName>
    <definedName name="Platform_Admin">'Levels &amp; Tools'!#REF!</definedName>
    <definedName name="Platform_Architect">'Levels &amp; Tools'!#REF!</definedName>
    <definedName name="Product_Manager">'Levels &amp; Tools'!#REF!</definedName>
    <definedName name="Product_Owner">'Levels &amp; Tools'!#REF!</definedName>
    <definedName name="Project_Manager">'Levels &amp; Tools'!#REF!</definedName>
    <definedName name="QA_Engineer">'Levels &amp; Tools'!$J$4:$J$7</definedName>
    <definedName name="Request_By">'Master Data'!$A$24:$A$32</definedName>
    <definedName name="Role_Title">'Levels &amp; Tools'!$B$4:$B$30</definedName>
    <definedName name="Scrum_Master">'Levels &amp; Tools'!#REF!</definedName>
    <definedName name="Security_Engineer">'Levels &amp; Tools'!$K$4:$K$7</definedName>
    <definedName name="Senior_Engineering_Manager">'Levels &amp; Tools'!#REF!</definedName>
    <definedName name="Solution_Architect">'Levels &amp; Tools'!#REF!</definedName>
    <definedName name="UX_Designer">'Levels &amp; Tools'!#REF!</definedName>
  </definedNames>
  <calcPr calcId="191028"/>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 l="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I12" i="1"/>
  <c r="V12" i="1"/>
  <c r="AA12" i="1"/>
  <c r="I13" i="1"/>
  <c r="V13" i="1"/>
  <c r="AA13" i="1"/>
  <c r="AA177" i="1"/>
  <c r="V177" i="1"/>
  <c r="H2" i="25" a="1"/>
  <c r="H2" i="25" s="1"/>
  <c r="Y17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<sst xmlns="http://schemas.openxmlformats.org/spreadsheetml/2006/main" count="2734" uniqueCount="675">
  <si>
    <t>Instructions for Completing the Resource Request Form</t>
  </si>
  <si>
    <t>COLUMN NAME</t>
  </si>
  <si>
    <t>OWNER</t>
  </si>
  <si>
    <t>INSTRUCTIONS</t>
  </si>
  <si>
    <t>Type</t>
  </si>
  <si>
    <t>ROLE</t>
  </si>
  <si>
    <t>Hertz</t>
  </si>
  <si>
    <t>Role Selection: Choose The Desired Role From The Drop-Down Menu. Role Definitions Can Be Found In The Roles Dictionary Tab.</t>
  </si>
  <si>
    <t>Drop Down</t>
  </si>
  <si>
    <t>Level</t>
  </si>
  <si>
    <t>Level Selection: Choose The Desired Level From The Drop-Down Menu. Role Definitions Can Be Found In The Roles Dictionary Tab.</t>
  </si>
  <si>
    <t># RESOURCES</t>
  </si>
  <si>
    <t>Resource Quantity: Enter The Number Of Resources Required (Whole Numbers Only).</t>
  </si>
  <si>
    <t>(Free Text Field) (Whole Numbers Only)</t>
  </si>
  <si>
    <t>FUNCTION | PILLAR</t>
  </si>
  <si>
    <t>Function Selection: Select The Relevant Function From The Drop-Down List (Sourced From The Master Data Tab).</t>
  </si>
  <si>
    <t>USE CASE DESCRIPTION</t>
  </si>
  <si>
    <t>Use Case Description: Provide A Brief Description Of The Ai Initiative For Which You Are Requesting Resources.</t>
  </si>
  <si>
    <t>(Free Text Field)</t>
  </si>
  <si>
    <t>REQUEST BY</t>
  </si>
  <si>
    <t>Requested By: Enter The Name Of The Requester. (Sourced From The Master Data Tab).</t>
  </si>
  <si>
    <t>REQUEST DATE</t>
  </si>
  <si>
    <t>Request Date: Enter The Date When The Request Is Made; Only Dates On Or After 12/1/2025 Are Accepted.</t>
  </si>
  <si>
    <t>(MM-DD-YYYY)</t>
  </si>
  <si>
    <t>ROLE START DATE</t>
  </si>
  <si>
    <t>Role Start Date: Enter The Anticipated Start Date; Role Start Date &gt;= Request Date</t>
  </si>
  <si>
    <t>ROLE END DATE</t>
  </si>
  <si>
    <t>Role End Date: Enter The Expected End Date; Role End Date &gt; Role Start End</t>
  </si>
  <si>
    <t>ROLE COMMITMENT (%)</t>
  </si>
  <si>
    <t>Role Commitment (%): Specify The Required Allocation As A Percentage (E.G., 100% For Full-Time).</t>
  </si>
  <si>
    <t>(%)</t>
  </si>
  <si>
    <t>ROLE LOCATION</t>
  </si>
  <si>
    <t>Role Location: Select The Resource Location From The Drop-Down Menu. (Sourced From The Master Data Tab).</t>
  </si>
  <si>
    <t>ROLE KEY RESPONSIBILITIES</t>
  </si>
  <si>
    <t>Role Key Responsibilities: Provide A Brief Description Of The Key Responsibilities For Which You Are Requesting Resources.</t>
  </si>
  <si>
    <t>COMMENTS</t>
  </si>
  <si>
    <t>Comments: Add Any Additional Details Or Context About The Role (E.G., “Should Have A High-Level Understanding Of The Sales Process”).</t>
  </si>
  <si>
    <t>SIGN OFF</t>
  </si>
  <si>
    <t>Signoff: Name Of The Leader Accepting The Request. (Sourced From The Master Data Tab).</t>
  </si>
  <si>
    <t>APPROVAL DATE</t>
  </si>
  <si>
    <t>Approval Date: Provide The Approval Date;  Approval Date &gt;= Request Date</t>
  </si>
  <si>
    <t>DELOITTE OWNER</t>
  </si>
  <si>
    <t>DELOITTE</t>
  </si>
  <si>
    <t>Deloitte Owner: Enter The Name Of The Deloitte Professional Responsible For Overseeing This Resourcing Request.</t>
  </si>
  <si>
    <t>DEPLOYED RESOURCES</t>
  </si>
  <si>
    <t>Deployed Resource: Enter The Number Of Resources Deployed Against The Requested Number.</t>
  </si>
  <si>
    <t>*DEPLOYMENT STATUS</t>
  </si>
  <si>
    <r>
      <t xml:space="preserve">DELOITTE </t>
    </r>
    <r>
      <rPr>
        <sz val="10"/>
        <color theme="0"/>
        <rFont val="Aptos Narrow"/>
        <family val="2"/>
        <scheme val="minor"/>
      </rPr>
      <t>(Derived)</t>
    </r>
  </si>
  <si>
    <t>Deployment Status: Auto-Calculated Based On The Number Of Resources Deployed Versus Requested.</t>
  </si>
  <si>
    <t>*CAN SPLIT?</t>
  </si>
  <si>
    <t>DERIVED COLUMN</t>
  </si>
  <si>
    <t>Indicates Whether The Role Can Be Assigned Across Multiple Programs</t>
  </si>
  <si>
    <t>NA</t>
  </si>
  <si>
    <t>*VALIDATION STATUS</t>
  </si>
  <si>
    <t>Indicates If All Required Fields For The Resource Request Are Fully Completed.</t>
  </si>
  <si>
    <t>Track</t>
  </si>
  <si>
    <t>Role Title</t>
  </si>
  <si>
    <t>Role Summary</t>
  </si>
  <si>
    <t>Key Responsibilities</t>
  </si>
  <si>
    <t>Primary Skills</t>
  </si>
  <si>
    <t>Secondary Skills</t>
  </si>
  <si>
    <t>Shared Resource Capability</t>
  </si>
  <si>
    <t>RAC</t>
  </si>
  <si>
    <t>Assoc Director</t>
  </si>
  <si>
    <t>Senior</t>
  </si>
  <si>
    <t>Strategic and technical leadership</t>
  </si>
  <si>
    <t>Provide strategic and technical leadership across multiple engineering teams responsible for Hertz’s core Rental (RAC) and / or Digital/Mobile platforms. This role is accountable for aligning technology initiatives with corporate strategy while driving modernization of mission-critical systems into cloud-native, API-driven, and event-oriented architectures</t>
  </si>
  <si>
    <t>Engineering Leadership &amp; Organization Building
Technology Strategy &amp; Architecture
Large-Scale Program Execution
Cross-Functional Partnership
Platform &amp; Domain Expertise
Executive Communication &amp; Stakeholder Management</t>
  </si>
  <si>
    <t>Technical Breadth Across Engineering Disciplines
Governance, Security &amp; Compliance
Operational &amp; Financial Acumen
Data-Driven Engineering Management
Change Management &amp; Transformation Leadership</t>
  </si>
  <si>
    <t>Sr Manager</t>
  </si>
  <si>
    <r>
      <t xml:space="preserve">Lead teams building and scaling systems that power </t>
    </r>
    <r>
      <rPr>
        <sz val="10"/>
        <color theme="1"/>
        <rFont val="Calibri"/>
        <family val="2"/>
      </rPr>
      <t>reservations, pricing, fleet allocation, counter workflows, customer identity, and mobile experiences across global, multi-brand environments</t>
    </r>
  </si>
  <si>
    <t xml:space="preserve">•	Define and articulate a long-term technology vision and platform strategy aligned to business growth, operational scalability, and customer experience goals 
•	Oversee multiple engineering domains (backend, frontend, mobile, QA, DevOps) ensuring alignment across RAC and/ or  Digital platforms 
•	Drive large-scale transformation initiatives including: 
•	Legacy system modernization </t>
  </si>
  <si>
    <t>Hands-on Technical Leadership
End-to-End Delivery Ownership
API &amp; Distributed Systems Expertise
Engineering People Management
Production Reliability &amp; Operational Excellence
Cross-Functional Collaboration</t>
  </si>
  <si>
    <t>Cloud, DevOps &amp; Platform Modernization
Quality Engineering &amp; Test Automation
Agile &amp; Delivery Methodologies
Design &amp; Architecture Patterns
Emerging Technology Awareness
Global &amp; Distributed Team Experience</t>
  </si>
  <si>
    <t>No</t>
  </si>
  <si>
    <t>Architect</t>
  </si>
  <si>
    <t>Lead</t>
  </si>
  <si>
    <t xml:space="preserve">Java, Spring Boot, and backend architectures 
RESTful APIs, GraphQL, and integration patterns 
Microservices and event-driven systems 
cloud platforms (AWS preferred; Azure/GCP acceptable) 
System design principles (scalability, consistency, resilience) 
Data modeling and database technologies (SQL/NoSQL) 
Messaging systems (Kafka, RabbitMQ, etc.) 
DevOps practices, including CI/CD pipelines, containerization (Docker), and orchestration (Kubernetes) </t>
  </si>
  <si>
    <t>Activity</t>
  </si>
  <si>
    <t>Details</t>
  </si>
  <si>
    <t>JD Finalization</t>
  </si>
  <si>
    <t>Shared</t>
  </si>
  <si>
    <t>POD-1 Onboarding</t>
  </si>
  <si>
    <t>QA Testing</t>
  </si>
  <si>
    <t>ONB</t>
  </si>
  <si>
    <t>Software Engineer</t>
  </si>
  <si>
    <t>Sr Software Engineer</t>
  </si>
  <si>
    <t>Client Evaluation</t>
  </si>
  <si>
    <t>Director/Sr director</t>
  </si>
  <si>
    <t>POD-1</t>
  </si>
  <si>
    <t>Counter Application</t>
  </si>
  <si>
    <t>POD-2 Onboarding</t>
  </si>
  <si>
    <t>Mgr/Sr Manager</t>
  </si>
  <si>
    <t>POD-2</t>
  </si>
  <si>
    <t>Digital(.com)</t>
  </si>
  <si>
    <t>POD-3 Onboarding</t>
  </si>
  <si>
    <t>POD-3</t>
  </si>
  <si>
    <t>TNC/ORO</t>
  </si>
  <si>
    <t>POD-4 Onboarding</t>
  </si>
  <si>
    <t>POD-4</t>
  </si>
  <si>
    <t>POD-5 Onboarding</t>
  </si>
  <si>
    <t>BA</t>
  </si>
  <si>
    <t>POD-5</t>
  </si>
  <si>
    <t>Payment</t>
  </si>
  <si>
    <t>POD-6 Onboarding</t>
  </si>
  <si>
    <t>POD-6</t>
  </si>
  <si>
    <t>POD-7 Onboarding</t>
  </si>
  <si>
    <t>POD-7</t>
  </si>
  <si>
    <t>Testing COE</t>
  </si>
  <si>
    <t>POD-8 Onboarding</t>
  </si>
  <si>
    <t>POD-8</t>
  </si>
  <si>
    <t>ECS POD1</t>
  </si>
  <si>
    <t>POD-9 Onboarding</t>
  </si>
  <si>
    <t>POD-9</t>
  </si>
  <si>
    <t>ECS POD2</t>
  </si>
  <si>
    <t>Assumptions</t>
  </si>
  <si>
    <t xml:space="preserve">No JD or role changes </t>
  </si>
  <si>
    <t>Clear prioritization of PODs driving the ramp‑up.</t>
  </si>
  <si>
    <t>Salary benchmarks remain stable</t>
  </si>
  <si>
    <t>No unexpected overhead increases</t>
  </si>
  <si>
    <t>Req #</t>
  </si>
  <si>
    <t>Candidate Name</t>
  </si>
  <si>
    <t>Profile received</t>
  </si>
  <si>
    <t>Skills</t>
  </si>
  <si>
    <t>Experience Level</t>
  </si>
  <si>
    <t>Notice Period</t>
  </si>
  <si>
    <t>Recuriting Stage</t>
  </si>
  <si>
    <t>R1 Assessment Date</t>
  </si>
  <si>
    <t>R1 Assessment Feedback</t>
  </si>
  <si>
    <t>R2 Assessment Date</t>
  </si>
  <si>
    <t>R2 Assessment feedback</t>
  </si>
  <si>
    <t>Final Status</t>
  </si>
  <si>
    <t>Date Submitted
to Client</t>
  </si>
  <si>
    <t>Client Interviewer</t>
  </si>
  <si>
    <t>Client Interview
Date</t>
  </si>
  <si>
    <t>Feedback Due Date
(Auto: +3 Bus. Days)</t>
  </si>
  <si>
    <t>Date Feedback
Received</t>
  </si>
  <si>
    <t>Client Decision</t>
  </si>
  <si>
    <t>Hire Type</t>
  </si>
  <si>
    <t>Rejection Reason
(if Rejected)</t>
  </si>
  <si>
    <t>SEKHAR MOHANTA</t>
  </si>
  <si>
    <t>Mobile Developer</t>
  </si>
  <si>
    <t>Interviewing</t>
  </si>
  <si>
    <t>R1 Select</t>
  </si>
  <si>
    <t>R2 Reject</t>
  </si>
  <si>
    <t>UPENDRA CHETPALLI</t>
  </si>
  <si>
    <t>Not Selected</t>
  </si>
  <si>
    <t>R1 Reject</t>
  </si>
  <si>
    <t>Vinay Kumar Peddi</t>
  </si>
  <si>
    <t>Anshu Kumari</t>
  </si>
  <si>
    <t>Pranita Pandharinath Lohakare</t>
  </si>
  <si>
    <t>Screening</t>
  </si>
  <si>
    <t>R1 to be Scheduled</t>
  </si>
  <si>
    <t>Anjaneyulu T C</t>
  </si>
  <si>
    <t xml:space="preserve">Java Full Stack </t>
  </si>
  <si>
    <t>Bala Bhaskar Ashok</t>
  </si>
  <si>
    <t>Naresh Reddy</t>
  </si>
  <si>
    <t>Satheesh L</t>
  </si>
  <si>
    <t>Lead Senior Associate</t>
  </si>
  <si>
    <t>20 days</t>
  </si>
  <si>
    <t>R2 Select</t>
  </si>
  <si>
    <t>Client Reject</t>
  </si>
  <si>
    <t>Mu Qiao; Bhaskar Hazarika; George Baxter</t>
  </si>
  <si>
    <t>PRASHANT KUMAR</t>
  </si>
  <si>
    <t>Abdul Rahiman Giddesagari</t>
  </si>
  <si>
    <t>QA_Automation</t>
  </si>
  <si>
    <t>Abhilash Chikkondra</t>
  </si>
  <si>
    <t>Lead Associate</t>
  </si>
  <si>
    <t>15 days</t>
  </si>
  <si>
    <t>Yashvanth Kumar Vasamsetti</t>
  </si>
  <si>
    <t>TIRUMALASETTI VEERA MANIKANTA</t>
  </si>
  <si>
    <t>Mohammed Sana</t>
  </si>
  <si>
    <t>Md Saddam Hussain</t>
  </si>
  <si>
    <t>Java Backend</t>
  </si>
  <si>
    <t>TALAGAPU SHYAM SUNDRA</t>
  </si>
  <si>
    <t>Bindu Priyanka Ganapathi</t>
  </si>
  <si>
    <t>Thalari Manohar</t>
  </si>
  <si>
    <t>Harish Kateghar</t>
  </si>
  <si>
    <t>Kushal Mehar Karri</t>
  </si>
  <si>
    <t>Navagana Binny Karthik</t>
  </si>
  <si>
    <t>Senior Associate</t>
  </si>
  <si>
    <t>Immediate</t>
  </si>
  <si>
    <t>Arun Murali</t>
  </si>
  <si>
    <t>10 days</t>
  </si>
  <si>
    <t>Client Interview Scheduled</t>
  </si>
  <si>
    <t xml:space="preserve">Visweswararao Vaddepalli </t>
  </si>
  <si>
    <t>Kishore Kake</t>
  </si>
  <si>
    <t>Chatrapathi Shivaji Bhoothkuri</t>
  </si>
  <si>
    <t>Deputy Manager</t>
  </si>
  <si>
    <t>45 days</t>
  </si>
  <si>
    <t>Kalyan Chintam; Karthik Gupta</t>
  </si>
  <si>
    <t>Firoz sheik</t>
  </si>
  <si>
    <t>Manoj Puram</t>
  </si>
  <si>
    <t>Satwika Bhupathi</t>
  </si>
  <si>
    <t>Maram Upendar Reddy</t>
  </si>
  <si>
    <t>50 days</t>
  </si>
  <si>
    <t>Sivaprasad Mutluru</t>
  </si>
  <si>
    <t>Spandana U</t>
  </si>
  <si>
    <t>Radha Devi Jakkampudi</t>
  </si>
  <si>
    <t>Venkateswara Reddy Gangi Reddy</t>
  </si>
  <si>
    <t>Sandeep Bandaru</t>
  </si>
  <si>
    <t>Lakshmi Suhas</t>
  </si>
  <si>
    <t>Kiran Raj Arugula</t>
  </si>
  <si>
    <t xml:space="preserve">Rambabu Amalaganti </t>
  </si>
  <si>
    <t xml:space="preserve">Nikhila Goriparthi </t>
  </si>
  <si>
    <t>Gouraji Praneeth Kumar</t>
  </si>
  <si>
    <t>Pramodh Kumar Potnuru</t>
  </si>
  <si>
    <t>Siva Balaji</t>
  </si>
  <si>
    <t>George Baxter; Bhaskar Hazarika; Sudha Amineni</t>
  </si>
  <si>
    <t>Ashish Konkatwar</t>
  </si>
  <si>
    <t>Harsha Vardhan Doddi</t>
  </si>
  <si>
    <t>Shylaja Maidam</t>
  </si>
  <si>
    <t>Neelam Likhitha</t>
  </si>
  <si>
    <t>THUTA KISHORE KUMAR</t>
  </si>
  <si>
    <t>Divya Senapathi</t>
  </si>
  <si>
    <t>Murali Ramesh Kandula</t>
  </si>
  <si>
    <t>30 days</t>
  </si>
  <si>
    <t>Venkat Sai Soma</t>
  </si>
  <si>
    <t>Abdul Rahman</t>
  </si>
  <si>
    <t>Sireesha Polineni</t>
  </si>
  <si>
    <t>Arif Basha Shaik</t>
  </si>
  <si>
    <t>DURGAA SAI TRINADH PEDAPATI</t>
  </si>
  <si>
    <t>Vamshi Krishna Samala</t>
  </si>
  <si>
    <t>Pradeep Vaddigadda</t>
  </si>
  <si>
    <t>Rakesh Gudikandula</t>
  </si>
  <si>
    <t>Tuta Siva Kumar</t>
  </si>
  <si>
    <t>Sony Sai Adari</t>
  </si>
  <si>
    <t>Anthati Vamshi</t>
  </si>
  <si>
    <t>Vinod Panja</t>
  </si>
  <si>
    <t>Kumber Sai Kumar</t>
  </si>
  <si>
    <t>Vamsi S</t>
  </si>
  <si>
    <t>Para Vidya Sagar</t>
  </si>
  <si>
    <t>Client Interview Dropout</t>
  </si>
  <si>
    <t>Tarang Mishra</t>
  </si>
  <si>
    <t>Gowrishankar K</t>
  </si>
  <si>
    <t>R2 to be Scheduled</t>
  </si>
  <si>
    <t>Sureshkumar Palanisamy</t>
  </si>
  <si>
    <t>Prasad Podalakuru</t>
  </si>
  <si>
    <t>Satish Kumar Sinha</t>
  </si>
  <si>
    <t>Ayan Chakraborty</t>
  </si>
  <si>
    <t>Manoj Kumar Kap</t>
  </si>
  <si>
    <t>Lakshminarayana Rali</t>
  </si>
  <si>
    <t>G Giribabu</t>
  </si>
  <si>
    <t>MICHAEL MADHUKAR KONDAMARRI</t>
  </si>
  <si>
    <t>Bhaskar Dasari</t>
  </si>
  <si>
    <t>Rudra Narayan Debata</t>
  </si>
  <si>
    <t>Pitchuka Durga Sai Ganesh</t>
  </si>
  <si>
    <t>Venkata Krishnakanth J</t>
  </si>
  <si>
    <t>Sai Ram Maddela</t>
  </si>
  <si>
    <t>Ramesh Reddy Naru</t>
  </si>
  <si>
    <t xml:space="preserve">S SUNNY VENKAT </t>
  </si>
  <si>
    <t>Narasimha Nalam</t>
  </si>
  <si>
    <t>Kuppam Sasi Kumar</t>
  </si>
  <si>
    <t xml:space="preserve">Ballani Balaji </t>
  </si>
  <si>
    <t>Sravan Gaddam</t>
  </si>
  <si>
    <t>Sairam Deepala</t>
  </si>
  <si>
    <t>Siva Prasath R</t>
  </si>
  <si>
    <t>Ragiti Sivakumar</t>
  </si>
  <si>
    <t>Srinivas Pinninti</t>
  </si>
  <si>
    <t>Associate Director</t>
  </si>
  <si>
    <t>Aditya Akkinapragada</t>
  </si>
  <si>
    <t>Manager</t>
  </si>
  <si>
    <t>60 days</t>
  </si>
  <si>
    <t>Kalyan</t>
  </si>
  <si>
    <t>Ashok Balayya Chitimilla</t>
  </si>
  <si>
    <t>R2 Scheduled</t>
  </si>
  <si>
    <t>Abhishek Kumar</t>
  </si>
  <si>
    <t>Mani kumari Boddu</t>
  </si>
  <si>
    <t>Rekha Vupeti</t>
  </si>
  <si>
    <t>MAS Abul Kalam</t>
  </si>
  <si>
    <t>Bibhu Prasad Swain</t>
  </si>
  <si>
    <t>Chintam, Kalyan</t>
  </si>
  <si>
    <t xml:space="preserve">Ganpath Rao Bharadwaj </t>
  </si>
  <si>
    <t>Satish Kumar JK</t>
  </si>
  <si>
    <t>Client Feedback Pending</t>
  </si>
  <si>
    <t>Kalyan Chintam</t>
  </si>
  <si>
    <t>Pendyala Sai Krishna</t>
  </si>
  <si>
    <t>Kunta Avinash Venkata Gopi</t>
  </si>
  <si>
    <t xml:space="preserve">Moses B </t>
  </si>
  <si>
    <t>Venkanna Gunaganti</t>
  </si>
  <si>
    <t>Benjamin Chhatria</t>
  </si>
  <si>
    <t>Mahananda Dukandar</t>
  </si>
  <si>
    <t>Sathwika Sheela</t>
  </si>
  <si>
    <t>Ravalapoodi Pavani</t>
  </si>
  <si>
    <t>Dasari Pavan Kumar</t>
  </si>
  <si>
    <t>Sindhuja Thota</t>
  </si>
  <si>
    <t>Lakshmi Narayana</t>
  </si>
  <si>
    <t>Madhireddy Harshitha</t>
  </si>
  <si>
    <t>Myla Ashok</t>
  </si>
  <si>
    <t>Pavan K V</t>
  </si>
  <si>
    <t>Kuppili Akhilsai</t>
  </si>
  <si>
    <t>Kanchibhotla Rama Sai Sri Ganesh</t>
  </si>
  <si>
    <t>Dinesh Kumar Mohapatra</t>
  </si>
  <si>
    <t>A M Siddhartha Shandilya</t>
  </si>
  <si>
    <t>Selected</t>
  </si>
  <si>
    <t>Client Select</t>
  </si>
  <si>
    <t>Mukesh Gopinadhan; Sudha Amineni</t>
  </si>
  <si>
    <t>Aligeti Nikhila</t>
  </si>
  <si>
    <t>Mandula Sharath</t>
  </si>
  <si>
    <t>Vamsi Singu</t>
  </si>
  <si>
    <t>Rukmini Ramya</t>
  </si>
  <si>
    <t>Linga arjuna Vulapu</t>
  </si>
  <si>
    <t>Jyothsna Priya Adapa</t>
  </si>
  <si>
    <t xml:space="preserve">Abijeet Kalekar </t>
  </si>
  <si>
    <t>K prudhvi raj</t>
  </si>
  <si>
    <t>N Venkatesh</t>
  </si>
  <si>
    <t>Goli ShivaTeja Reddy</t>
  </si>
  <si>
    <t>Sriteja Chebrolu</t>
  </si>
  <si>
    <t>Pratyusha Kandikattu</t>
  </si>
  <si>
    <t>Share Mahendhar</t>
  </si>
  <si>
    <t>Ramani Avulamanda</t>
  </si>
  <si>
    <t>Anjalidevi Dharmavarapu</t>
  </si>
  <si>
    <t>Tamattam Siva Prasad Reddy</t>
  </si>
  <si>
    <t>Sreeparna Ghosh</t>
  </si>
  <si>
    <t>Sai kiran Malladi</t>
  </si>
  <si>
    <t>Hema Chandra</t>
  </si>
  <si>
    <t>Sudha Amineni; Neil Kerr; George Baxter</t>
  </si>
  <si>
    <t>Elakya Vasudevan</t>
  </si>
  <si>
    <t>Pratyush Ranjan Tripathi</t>
  </si>
  <si>
    <t>Hemanth Sai Kandukuri</t>
  </si>
  <si>
    <t>Lakshmi Narayana Challapalli</t>
  </si>
  <si>
    <t>Bikash Mohapatra</t>
  </si>
  <si>
    <t>Dara Sudheer Kumar</t>
  </si>
  <si>
    <t>kiran kumar</t>
  </si>
  <si>
    <t>VENKATA VENU ARLANKI</t>
  </si>
  <si>
    <t>Chanukya kallepalli</t>
  </si>
  <si>
    <t>D Veena</t>
  </si>
  <si>
    <t>Arindam Samanta</t>
  </si>
  <si>
    <t>Ashok Kumar Gembali</t>
  </si>
  <si>
    <t>Jagadish Anala</t>
  </si>
  <si>
    <t>Sukumar</t>
  </si>
  <si>
    <r>
      <t>Venkata Naga Sundar Sai Challa</t>
    </r>
    <r>
      <rPr>
        <sz val="18"/>
        <color rgb="FF000000"/>
        <rFont val="Calibri"/>
        <charset val="1"/>
      </rPr>
      <t>​</t>
    </r>
  </si>
  <si>
    <t>Afshaan Pasha</t>
  </si>
  <si>
    <t>Kumar Raja Geddam</t>
  </si>
  <si>
    <t>18-05-2026</t>
  </si>
  <si>
    <t>SANYASINAIDU GUDIVADA</t>
  </si>
  <si>
    <t>RAMESH VETSA</t>
  </si>
  <si>
    <t>Chiranjeevi Peddolla</t>
  </si>
  <si>
    <t>Mohammad Abdul Rasheed</t>
  </si>
  <si>
    <t>Sekhar Babu Bodipudi</t>
  </si>
  <si>
    <t>15-05-2026</t>
  </si>
  <si>
    <t>Abhishek kumar Shukla</t>
  </si>
  <si>
    <t>Srikanth Gajula</t>
  </si>
  <si>
    <t>Chandra Nagaraju Dhupam</t>
  </si>
  <si>
    <t>Durga Devi Pothabattula</t>
  </si>
  <si>
    <t>Yuvasri Chinta</t>
  </si>
  <si>
    <t>Sudha Amineni; Mukesh Gopinadhan</t>
  </si>
  <si>
    <t>Nakirekanti Nandan</t>
  </si>
  <si>
    <t>Mehta Paresh , Baxter George</t>
  </si>
  <si>
    <t>Pavan Sainath Yerrabolu</t>
  </si>
  <si>
    <t>Interview Dropout</t>
  </si>
  <si>
    <t>Akshay Yerawar</t>
  </si>
  <si>
    <t xml:space="preserve">Venkata Sai Pavan Kumar </t>
  </si>
  <si>
    <t>Amineni Sudha , Gopinadhan Mukesh</t>
  </si>
  <si>
    <t>Sai Karthik Kollapureddy</t>
  </si>
  <si>
    <t>Bhaskar Hazarika; Mu Qiao; George Baxter</t>
  </si>
  <si>
    <t>Pranay Raj K</t>
  </si>
  <si>
    <t xml:space="preserve">Sunil Kumar Bandi </t>
  </si>
  <si>
    <t>Amineni Sudha, Mehta Paresh, Baxter George</t>
  </si>
  <si>
    <t>Srikanth Nanaboina</t>
  </si>
  <si>
    <t>Satya Sai Chaitanya Kuchibhotla</t>
  </si>
  <si>
    <t>Sai Kumar Kotha</t>
  </si>
  <si>
    <t xml:space="preserve">Sai Krishna Dahagam </t>
  </si>
  <si>
    <t>Sumanth Gurramkonda</t>
  </si>
  <si>
    <t>Ettaboina Ganesh</t>
  </si>
  <si>
    <t>SADI DILEEP KUMAR</t>
  </si>
  <si>
    <t>Ravi G</t>
  </si>
  <si>
    <t>Pavan Kumar</t>
  </si>
  <si>
    <t>Surendra Varma Kalidindi</t>
  </si>
  <si>
    <t xml:space="preserve">Ravi Sankar Korrapati </t>
  </si>
  <si>
    <t>Uzma Nasreen</t>
  </si>
  <si>
    <t>Rajlaxmi</t>
  </si>
  <si>
    <t>Sridevi Potla</t>
  </si>
  <si>
    <t>Jagan Saragadam</t>
  </si>
  <si>
    <t>Gowthami Kasturi</t>
  </si>
  <si>
    <t>Lakshmi Deepika</t>
  </si>
  <si>
    <t>Nageswara Rao Gurram</t>
  </si>
  <si>
    <t>Sowmya Borra</t>
  </si>
  <si>
    <t>Jayam Charan Kumar</t>
  </si>
  <si>
    <t>Konduru Rakesh</t>
  </si>
  <si>
    <t>Madhumita Banerjee</t>
  </si>
  <si>
    <t>R1 Scheduled</t>
  </si>
  <si>
    <t>Viswanathan S</t>
  </si>
  <si>
    <t>Karthik Gupta</t>
  </si>
  <si>
    <t>Deepika Srivastava</t>
  </si>
  <si>
    <t>Kumarswamy D</t>
  </si>
  <si>
    <t>Venkat Kalyan</t>
  </si>
  <si>
    <t>Pranaya S</t>
  </si>
  <si>
    <t>Sudha Rani</t>
  </si>
  <si>
    <t>Rayala Venkatesh Balija</t>
  </si>
  <si>
    <t>Sai Siddartha Kovalluri</t>
  </si>
  <si>
    <t>Siva Krishna Madasu</t>
  </si>
  <si>
    <t>Swetha Rani Narla</t>
  </si>
  <si>
    <t>Karthikeya Akhil Anipeddi</t>
  </si>
  <si>
    <t>Sandeep Teegala</t>
  </si>
  <si>
    <t>Teja Chamada</t>
  </si>
  <si>
    <t>Srinivasa Rao Nakka</t>
  </si>
  <si>
    <t>Varsha Bambal</t>
  </si>
  <si>
    <t>Dude Mounika</t>
  </si>
  <si>
    <t>Hemanth R</t>
  </si>
  <si>
    <t>Akula Ravali</t>
  </si>
  <si>
    <t>Harshini</t>
  </si>
  <si>
    <t>Anjaneyulu Chelamala</t>
  </si>
  <si>
    <t>Sibasundar Nayak</t>
  </si>
  <si>
    <t>Shweta Singh</t>
  </si>
  <si>
    <t>Deepak mourya</t>
  </si>
  <si>
    <t>Vijitha Gummadapu</t>
  </si>
  <si>
    <t>Suresh Juvva</t>
  </si>
  <si>
    <t>Rameshbabu GVS</t>
  </si>
  <si>
    <t>Himaja Anthikapalli</t>
  </si>
  <si>
    <t>Reena Roy Malge</t>
  </si>
  <si>
    <t>Prashant Shekhar</t>
  </si>
  <si>
    <t>Sesha Sai</t>
  </si>
  <si>
    <t>Srinivas Malla</t>
  </si>
  <si>
    <t>Venkatesh Sangaru</t>
  </si>
  <si>
    <t xml:space="preserve">Harish Kulkarni </t>
  </si>
  <si>
    <t xml:space="preserve">Shashank Raj </t>
  </si>
  <si>
    <t>Anil Kumar Sharma</t>
  </si>
  <si>
    <t>Kiran Ventrapragada</t>
  </si>
  <si>
    <t xml:space="preserve">Syamsunder Reddy Valle </t>
  </si>
  <si>
    <t xml:space="preserve">Anil </t>
  </si>
  <si>
    <t>Ranadheer Rampeli</t>
  </si>
  <si>
    <t>Vivekanand Pandey</t>
  </si>
  <si>
    <t>Savitri Y Talikoti</t>
  </si>
  <si>
    <t>Jyothirmai Bandarupalli</t>
  </si>
  <si>
    <t>Chanchal Sagar</t>
  </si>
  <si>
    <t>srikanth sakkirga</t>
  </si>
  <si>
    <t>Naveen Prasad Chary</t>
  </si>
  <si>
    <t>Sushmita Kura</t>
  </si>
  <si>
    <t>Irrinki Kiran Prathyusha</t>
  </si>
  <si>
    <t>Supriya Sagili</t>
  </si>
  <si>
    <t>S L B Sukanya Alluri</t>
  </si>
  <si>
    <t>Sravya Daram</t>
  </si>
  <si>
    <t>Saikumar Kasam</t>
  </si>
  <si>
    <t>Manish Pandey</t>
  </si>
  <si>
    <t>jampa Shankar Siva kumar</t>
  </si>
  <si>
    <t>Sana Arjuna Suresh</t>
  </si>
  <si>
    <t>Manisha Kumari</t>
  </si>
  <si>
    <t>sindhuja bodicherla</t>
  </si>
  <si>
    <t xml:space="preserve">Subba Reddy KV </t>
  </si>
  <si>
    <t>Aparna Reddy Kondam</t>
  </si>
  <si>
    <t>Rajinikar P</t>
  </si>
  <si>
    <t xml:space="preserve">Surendra Modupalli </t>
  </si>
  <si>
    <t>Piyush Jalnekar</t>
  </si>
  <si>
    <t>Abhishek Ranjan</t>
  </si>
  <si>
    <t>Arelli Prashanthi</t>
  </si>
  <si>
    <t>Madhusudan Merugu</t>
  </si>
  <si>
    <t>Shivang Pathak</t>
  </si>
  <si>
    <t xml:space="preserve">Vamshidhar Reddy </t>
  </si>
  <si>
    <t>Nishanth Kothapalli</t>
  </si>
  <si>
    <t>Nunna Sai Lakshman Teja</t>
  </si>
  <si>
    <t>Swati Pandey</t>
  </si>
  <si>
    <t>Jhansi Vusirikapalli</t>
  </si>
  <si>
    <t>Prasanna Yadalapurapu</t>
  </si>
  <si>
    <t>Kolukuluri Balaji</t>
  </si>
  <si>
    <t>Pasupuleti Sowjanya</t>
  </si>
  <si>
    <t>Kuruvella Nikith Sai</t>
  </si>
  <si>
    <t>Ganesh kokkargadda</t>
  </si>
  <si>
    <t>Lokesh Kalyan</t>
  </si>
  <si>
    <t>Sivakrishna Karri</t>
  </si>
  <si>
    <t>Haneesha Varada</t>
  </si>
  <si>
    <t>Vikram Bezawada</t>
  </si>
  <si>
    <t>Vijayalakshmi Siripurapu</t>
  </si>
  <si>
    <t>AVP</t>
  </si>
  <si>
    <t>Jayaram Prasad Chelluboina</t>
  </si>
  <si>
    <t>Prashant Kumar Gupta</t>
  </si>
  <si>
    <t>KumarRaja Geddam</t>
  </si>
  <si>
    <t>Sudhakar Devari</t>
  </si>
  <si>
    <t>Anudeep B</t>
  </si>
  <si>
    <t>Shaik Rahamthulla</t>
  </si>
  <si>
    <t>Atul Srivastava</t>
  </si>
  <si>
    <t>Pandala Shiva Shanker</t>
  </si>
  <si>
    <t>Yogesh Verma</t>
  </si>
  <si>
    <t>Vinay Reddy Kambalapally</t>
  </si>
  <si>
    <t>Srinivas Varanasi</t>
  </si>
  <si>
    <t>Navya Dittakavi</t>
  </si>
  <si>
    <t>MVSL Bhavani</t>
  </si>
  <si>
    <t>Bharath Kumar.T</t>
  </si>
  <si>
    <t>Om Gupta</t>
  </si>
  <si>
    <t>Bhavishya Pedditi</t>
  </si>
  <si>
    <t xml:space="preserve">  RESOURCE PLANNING &amp; STAFFING TRACKER — LIVE DASHBOARD</t>
  </si>
  <si>
    <t> </t>
  </si>
  <si>
    <t xml:space="preserve">  ▌ SECTION 1 — DEMAND   (Live from: Resource Ramp Plan)</t>
  </si>
  <si>
    <t>Total Planned
Headcount</t>
  </si>
  <si>
    <t>Total PODs</t>
  </si>
  <si>
    <t>QA Engineers</t>
  </si>
  <si>
    <t>SWE + Sr SWE</t>
  </si>
  <si>
    <t>Lead / Arch</t>
  </si>
  <si>
    <t>Ramp Start</t>
  </si>
  <si>
    <t>Ramp End</t>
  </si>
  <si>
    <t>Across all PODs</t>
  </si>
  <si>
    <t>Delivery units</t>
  </si>
  <si>
    <t>Software Engineers</t>
  </si>
  <si>
    <t>Arch + Mgmt + Dir</t>
  </si>
  <si>
    <t>First ONB week</t>
  </si>
  <si>
    <t>POD-5 fully staffed</t>
  </si>
  <si>
    <t>POD HEADCOUNT BREAKDOWN (Live)</t>
  </si>
  <si>
    <t>ONBOARDING TIMELINE (Live)</t>
  </si>
  <si>
    <t>POD</t>
  </si>
  <si>
    <t>Total</t>
  </si>
  <si>
    <t>QA</t>
  </si>
  <si>
    <t>SWE</t>
  </si>
  <si>
    <t>Sr SWE</t>
  </si>
  <si>
    <t>Arch</t>
  </si>
  <si>
    <t>Mgmt+Dir</t>
  </si>
  <si>
    <t>First ONB</t>
  </si>
  <si>
    <t>Peak ONB</t>
  </si>
  <si>
    <t>Last ONB</t>
  </si>
  <si>
    <t># Weeks</t>
  </si>
  <si>
    <t>Total HC</t>
  </si>
  <si>
    <t>TOTAL</t>
  </si>
  <si>
    <t>GRAND TOTAL</t>
  </si>
  <si>
    <t>WEEKLY ONBOARDING RAMP — HEADCOUNT PER WEEK  (Live from Ramp Plan)</t>
  </si>
  <si>
    <t xml:space="preserve">  ▌ SECTION 2 — STAFFING METRICS   (Live from: Resource Level Tracking)</t>
  </si>
  <si>
    <t>Total
Candidates</t>
  </si>
  <si>
    <t>Internally
Selected</t>
  </si>
  <si>
    <t>Not Selected
(Internal)</t>
  </si>
  <si>
    <t>Submitted
to Client</t>
  </si>
  <si>
    <t>Client
Selected</t>
  </si>
  <si>
    <t>In pipeline</t>
  </si>
  <si>
    <t>Cleared internal</t>
  </si>
  <si>
    <t>R1/R2 reject</t>
  </si>
  <si>
    <t>Awaiting decision</t>
  </si>
  <si>
    <t>RECRUITMENT FUNNEL (Live)</t>
  </si>
  <si>
    <t>PIPELINE BY SKILL (Live)</t>
  </si>
  <si>
    <t>Stage</t>
  </si>
  <si>
    <t>Count</t>
  </si>
  <si>
    <t>% of Total</t>
  </si>
  <si>
    <t>Conversion</t>
  </si>
  <si>
    <t>Status</t>
  </si>
  <si>
    <t>Skill</t>
  </si>
  <si>
    <t>1 · Profile Received</t>
  </si>
  <si>
    <t>Full Stack</t>
  </si>
  <si>
    <t>2 · Screening</t>
  </si>
  <si>
    <t>3 · Interviewing</t>
  </si>
  <si>
    <t>Java Back End</t>
  </si>
  <si>
    <t>4 · R1 Assessed</t>
  </si>
  <si>
    <t>QA testing</t>
  </si>
  <si>
    <t>5 · R2 Assessed</t>
  </si>
  <si>
    <t>6 · Internally Selected</t>
  </si>
  <si>
    <t>Pipeline by level</t>
  </si>
  <si>
    <t>PIPELINE CONVERSION RATES (Live)</t>
  </si>
  <si>
    <t>Role</t>
  </si>
  <si>
    <t>Passed</t>
  </si>
  <si>
    <t>Failed</t>
  </si>
  <si>
    <t>Total Assessed</t>
  </si>
  <si>
    <t>Pass Rate</t>
  </si>
  <si>
    <t>Conversion Gate</t>
  </si>
  <si>
    <t>In</t>
  </si>
  <si>
    <t>Out</t>
  </si>
  <si>
    <t>Rate</t>
  </si>
  <si>
    <t>Insight</t>
  </si>
  <si>
    <t>R1 Assessment</t>
  </si>
  <si>
    <t>Pipeline → Screening</t>
  </si>
  <si>
    <t>Near-full profile coverage</t>
  </si>
  <si>
    <t>R2 Assessment</t>
  </si>
  <si>
    <t>Screening → Interviewing</t>
  </si>
  <si>
    <t>Active filtering in screening</t>
  </si>
  <si>
    <t>11 · Client Rejected</t>
  </si>
  <si>
    <t>Interviewing → R1</t>
  </si>
  <si>
    <t>Assess all who interview</t>
  </si>
  <si>
    <t>R1 → R2</t>
  </si>
  <si>
    <t>Mid-funnel selectivity</t>
  </si>
  <si>
    <t>R2 → Internal Select</t>
  </si>
  <si>
    <t>R2 pass = internally ready</t>
  </si>
  <si>
    <t>Submitted → Client Select</t>
  </si>
  <si>
    <t>Client selection rate</t>
  </si>
  <si>
    <t>Count of Final Status</t>
  </si>
  <si>
    <t>Grand Total</t>
  </si>
  <si>
    <t>Count of Recuriting Stage</t>
  </si>
  <si>
    <t>Role_Title</t>
  </si>
  <si>
    <t>Tools (Industry Standard/Mapping)</t>
  </si>
  <si>
    <t>Senior_Manager</t>
  </si>
  <si>
    <t>Full_Stack_Engineer</t>
  </si>
  <si>
    <t>Back_End_developer</t>
  </si>
  <si>
    <t>QA_Engineer</t>
  </si>
  <si>
    <t>Mobile _Developer</t>
  </si>
  <si>
    <t>Director</t>
  </si>
  <si>
    <t>Java_Full_Stack_ Engineer</t>
  </si>
  <si>
    <t>Microservices/API development using Java/Spring Boot
with Node, NPM, and React framework
cloud-native applications in AWS/Azure
Kafka and containerization</t>
  </si>
  <si>
    <t>Deputy Mgr</t>
  </si>
  <si>
    <t>Associate</t>
  </si>
  <si>
    <t>Executive Mgr</t>
  </si>
  <si>
    <t>S_ Java_Full_Stack_Engineer</t>
  </si>
  <si>
    <t>Java, JavaScript framework like React, Spring Boot
Microservices frameworks (e.g., Spring Boot), Event-Driven Services, and Cloud-Native Application Development
Service Oriented and Microservices architectures, including REST and GraphQL implementations
Strong expertise in developing intuitive user interfaces using contemporary JavaScript frameworks (e.g., React), HTML5, and CSS.
Comprehensive knowledge of SQL and PL/SQL
(CI/CD) pipelines and tools for building (e.g., Maven, Gradle) and deploying code (e.g., Docker, Jenkins, OpenShift)</t>
  </si>
  <si>
    <t>Lead Assoc</t>
  </si>
  <si>
    <t>Back End Developer</t>
  </si>
  <si>
    <t>Java (Spring Boot) / Node.js / Python (Django, Flask) 
Relational databases (MySQL, PostgreSQL) 
NoSQL databases (MongoDB, Redis) 
API security (OAuth, JWT, etc.) 
asynchronous processing and messaging systems (Kafka, RabbitMQ) 
Git, Docket, Jenkins</t>
  </si>
  <si>
    <t>Sr Assoc</t>
  </si>
  <si>
    <t>VP</t>
  </si>
  <si>
    <t>Sr Back End Developer</t>
  </si>
  <si>
    <t>Java (Spring Boot) / Node.js / Python (Django, Flask) 
Relational databases (MySQL, PostgreSQL) 
NoSQL databases (MongoDB, Redis) 
Load balancing, caching (Redis, CDN) 
API security (OAuth, JWT, etc.) 
asynchronous processing and messaging systems (Kafka, RabbitMQ) 
Git, Docket, Jenkins</t>
  </si>
  <si>
    <t>Lead Sr Assoc</t>
  </si>
  <si>
    <t xml:space="preserve">Selenium WebDriver / Cypress / Playwright 
Java / Python / JavaScript 
TestNG / JUnit / Mocha / PyTest 
REST Assured / Postman / Karate 
Jenkins / GitHub Actions / Azure DevOps </t>
  </si>
  <si>
    <t>Assistant Mgr</t>
  </si>
  <si>
    <t>Sr QA Automation</t>
  </si>
  <si>
    <t xml:space="preserve">React Native
iOS (Swift / Objective-C) /Android (Kotlin / Java) 
(Redux, Context API, etc.) </t>
  </si>
  <si>
    <t>Sr Mobile Developer</t>
  </si>
  <si>
    <t>10+ years of software engineering experience with a proven track record of building complex, distributed systems.
Strong expertise in one or more languages (e.g. Java) and frameworks such as Spring, with deep understanding of the JDK/JVM and microservices patterns.
In-depth knowledge of API development (REST, SOAP, GraphQL), database design (SQL/NoSQL) and messaging systems (Kafka, RabbitMQ).
cloud platforms (AWS, Azure, GCP), container orchestration (Docker/Kubernetes) and observability tools (Prometheus, Grafana, ELK).
Practical experience in QA/test automation, including frameworks like JUnit, Selenium, WebDriver, Cucumber and integrating tests into CI/CD pipelines.
Solid understanding of design patterns (SOLID, DDD, hexagonal), distributed architectures and performance tuning</t>
  </si>
  <si>
    <t>Asso Director</t>
  </si>
  <si>
    <t>Resource Request Form</t>
  </si>
  <si>
    <t>ID</t>
  </si>
  <si>
    <t>REQ ID</t>
  </si>
  <si>
    <t>SF ID</t>
  </si>
  <si>
    <t>Open</t>
  </si>
  <si>
    <t>Client Confirmed</t>
  </si>
  <si>
    <t>Profile Shared</t>
  </si>
  <si>
    <t>Priority</t>
  </si>
  <si>
    <r>
      <t xml:space="preserve">REQUEST DATE </t>
    </r>
    <r>
      <rPr>
        <b/>
        <sz val="10"/>
        <color theme="0"/>
        <rFont val="Aptos Narrow"/>
        <family val="2"/>
        <scheme val="minor"/>
      </rPr>
      <t>(MM/DD/YYYY)</t>
    </r>
  </si>
  <si>
    <r>
      <t>ROLE START DATE</t>
    </r>
    <r>
      <rPr>
        <b/>
        <sz val="10"/>
        <color theme="0"/>
        <rFont val="Aptos Narrow"/>
        <family val="2"/>
        <scheme val="minor"/>
      </rPr>
      <t xml:space="preserve"> (MM/DD/YYYY)</t>
    </r>
  </si>
  <si>
    <r>
      <t xml:space="preserve">ROLE END DATE </t>
    </r>
    <r>
      <rPr>
        <b/>
        <sz val="10"/>
        <color theme="0"/>
        <rFont val="Aptos Narrow"/>
        <family val="2"/>
        <scheme val="minor"/>
      </rPr>
      <t>(MM/DD/YYYY)</t>
    </r>
  </si>
  <si>
    <r>
      <t>APPROVAL DATE</t>
    </r>
    <r>
      <rPr>
        <b/>
        <sz val="10"/>
        <color theme="0"/>
        <rFont val="Aptos Narrow"/>
        <family val="2"/>
        <scheme val="minor"/>
      </rPr>
      <t xml:space="preserve"> (MM/DD/YYYY)</t>
    </r>
  </si>
  <si>
    <r>
      <rPr>
        <b/>
        <sz val="14"/>
        <color rgb="FFFF0000"/>
        <rFont val="Aptos Narrow"/>
        <family val="2"/>
        <scheme val="minor"/>
      </rPr>
      <t>*</t>
    </r>
    <r>
      <rPr>
        <b/>
        <sz val="14"/>
        <color theme="0"/>
        <rFont val="Aptos Narrow"/>
        <family val="2"/>
        <scheme val="minor"/>
      </rPr>
      <t>VALIDATION STATUS</t>
    </r>
  </si>
  <si>
    <t>On Hold?</t>
  </si>
  <si>
    <t>Resources On Hold</t>
  </si>
  <si>
    <t>Team Member details</t>
  </si>
  <si>
    <t>Deloitte Comment</t>
  </si>
  <si>
    <t>RAG</t>
  </si>
  <si>
    <t>Offshore - HYD</t>
  </si>
  <si>
    <t>Mobile</t>
  </si>
  <si>
    <t>Payment POD 1</t>
  </si>
  <si>
    <t>Payment POD 2</t>
  </si>
  <si>
    <t>TNC POD1</t>
  </si>
  <si>
    <t>TNC POD2</t>
  </si>
  <si>
    <t>Test COE</t>
  </si>
  <si>
    <t>Enterprise Common Services (POD1)</t>
  </si>
  <si>
    <t>Enterprise Common Services (POD2)</t>
  </si>
  <si>
    <t>END</t>
  </si>
  <si>
    <t>Function | Pillar</t>
  </si>
  <si>
    <t>High</t>
  </si>
  <si>
    <t>Medium</t>
  </si>
  <si>
    <t>Low</t>
  </si>
  <si>
    <t>Location</t>
  </si>
  <si>
    <t>Request By</t>
  </si>
  <si>
    <t>SR Director</t>
  </si>
  <si>
    <t>Julie</t>
  </si>
  <si>
    <t>Dan</t>
  </si>
  <si>
    <t>Recuritment Stage</t>
  </si>
  <si>
    <t>Sourcing</t>
  </si>
  <si>
    <t>Submitted</t>
  </si>
  <si>
    <t>Offer</t>
  </si>
  <si>
    <t>Hired</t>
  </si>
  <si>
    <t>Propel Designations</t>
  </si>
  <si>
    <t>Propel Level</t>
  </si>
  <si>
    <t>Indicative Yrs of Experience</t>
  </si>
  <si>
    <t>Junior Associate</t>
  </si>
  <si>
    <t>L1.1</t>
  </si>
  <si>
    <t>0 to 1</t>
  </si>
  <si>
    <t>Lead Jr Associate</t>
  </si>
  <si>
    <t>L1.2</t>
  </si>
  <si>
    <t>1 to 2</t>
  </si>
  <si>
    <t>L2.1</t>
  </si>
  <si>
    <t>2 to 3</t>
  </si>
  <si>
    <t>L2.2</t>
  </si>
  <si>
    <t>3 to 4</t>
  </si>
  <si>
    <t>Sr Associate</t>
  </si>
  <si>
    <t>L3.1</t>
  </si>
  <si>
    <t>4 to 6</t>
  </si>
  <si>
    <t>Lead Sr Associate</t>
  </si>
  <si>
    <t>L3.2</t>
  </si>
  <si>
    <t>6 to 9</t>
  </si>
  <si>
    <t>Assistant Manager</t>
  </si>
  <si>
    <t>L4</t>
  </si>
  <si>
    <t>9 to 12</t>
  </si>
  <si>
    <t>L5</t>
  </si>
  <si>
    <t>12 to 15</t>
  </si>
  <si>
    <t>L6</t>
  </si>
  <si>
    <t>15 to 18</t>
  </si>
  <si>
    <t>Executive Manager</t>
  </si>
  <si>
    <t>L7</t>
  </si>
  <si>
    <t>18 to 22</t>
  </si>
  <si>
    <t>L8</t>
  </si>
  <si>
    <t>22 to 26</t>
  </si>
  <si>
    <t>L9</t>
  </si>
  <si>
    <t>26 to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</si>
</sst>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68" x14ac:knownFonts="1">
    <font>
      <sz val="12"/>
      <color theme="1"/>
      <name val="Aptos Narrow"/>
      <family val="2"/>
      <scheme val="minor"/>
    </font>
    <font>
      <sz val="11"/>
      <color theme="1"/>
      <name val="Aptos Narrow"/>
      <family val="2"/>
      <scheme val="minor"/>
    </font>
    <font>
      <b/>
      <sz val="12"/>
      <color theme="0"/>
      <name val="Aptos Narrow"/>
      <family val="2"/>
      <scheme val="minor"/>
    </font>
    <font>
      <b/>
      <sz val="14"/>
      <color theme="0"/>
      <name val="Aptos Narrow"/>
      <family val="2"/>
      <scheme val="minor"/>
    </font>
    <font>
      <sz val="14"/>
      <color theme="1"/>
      <name val="Aptos Narrow"/>
      <family val="2"/>
      <scheme val="minor"/>
    </font>
    <font>
      <sz val="12"/>
      <color theme="1"/>
      <name val="Aptos Narrow"/>
      <family val="2"/>
      <scheme val="minor"/>
    </font>
    <font>
      <sz val="26"/>
      <color theme="1"/>
      <name val="Aptos Narrow"/>
      <family val="2"/>
      <scheme val="minor"/>
    </font>
    <font>
      <sz val="14"/>
      <color theme="0"/>
      <name val="Aptos Narrow"/>
      <family val="2"/>
      <scheme val="minor"/>
    </font>
    <font>
      <sz val="11"/>
      <color rgb="FF006100"/>
      <name val="Aptos Narrow"/>
      <family val="2"/>
      <scheme val="minor"/>
    </font>
    <font>
      <b/>
      <sz val="11"/>
      <color rgb="FFFFFFFF"/>
      <name val="Calibri"/>
      <family val="2"/>
    </font>
    <font>
      <sz val="10"/>
      <name val="Calibri"/>
      <family val="2"/>
    </font>
    <font>
      <b/>
      <sz val="10"/>
      <color rgb="FFFFFFFF"/>
      <name val="Calibri"/>
      <family val="2"/>
    </font>
    <font>
      <b/>
      <sz val="18"/>
      <color theme="0"/>
      <name val="Aptos Narrow"/>
      <family val="2"/>
      <scheme val="minor"/>
    </font>
    <font>
      <b/>
      <sz val="16"/>
      <color theme="1"/>
      <name val="Aptos Narrow"/>
      <family val="2"/>
      <scheme val="minor"/>
    </font>
    <font>
      <b/>
      <sz val="11"/>
      <color rgb="FFFA7D00"/>
      <name val="Aptos Narrow"/>
      <family val="2"/>
      <scheme val="minor"/>
    </font>
    <font>
      <b/>
      <sz val="11"/>
      <color theme="1"/>
      <name val="Aptos Narrow"/>
      <family val="2"/>
      <scheme val="minor"/>
    </font>
    <font>
      <b/>
      <sz val="14"/>
      <color rgb="FFFF0000"/>
      <name val="Aptos Narrow"/>
      <family val="2"/>
      <scheme val="minor"/>
    </font>
    <font>
      <sz val="10"/>
      <color theme="0"/>
      <name val="Aptos Narrow"/>
      <family val="2"/>
      <scheme val="minor"/>
    </font>
    <font>
      <b/>
      <sz val="10"/>
      <color theme="0"/>
      <name val="Aptos Narrow"/>
      <family val="2"/>
      <scheme val="minor"/>
    </font>
    <font>
      <sz val="12"/>
      <color rgb="FF000000"/>
      <name val="Aptos Narrow"/>
      <family val="2"/>
      <scheme val="minor"/>
    </font>
    <font>
      <sz val="12"/>
      <color theme="0"/>
      <name val="Aptos Narrow"/>
      <family val="2"/>
      <scheme val="minor"/>
    </font>
    <font>
      <sz val="10"/>
      <color theme="1"/>
      <name val="Calibri"/>
      <family val="2"/>
    </font>
    <font>
      <sz val="10"/>
      <color theme="1"/>
      <name val="Aptos Narrow"/>
      <family val="2"/>
      <scheme val="minor"/>
    </font>
    <font>
      <b/>
      <sz val="12"/>
      <color rgb="FF000000"/>
      <name val="Aptos Narrow"/>
      <family val="2"/>
      <scheme val="minor"/>
    </font>
    <font>
      <b/>
      <sz val="11"/>
      <color rgb="FFFFFFFF"/>
      <name val="Aptos Narrow"/>
      <family val="2"/>
      <scheme val="minor"/>
    </font>
    <font>
      <b/>
      <sz val="11"/>
      <color rgb="FF000000"/>
      <name val="Aptos Narrow"/>
      <family val="2"/>
      <scheme val="minor"/>
    </font>
    <font>
      <sz val="11"/>
      <color rgb="FF000000"/>
      <name val="Aptos Narrow"/>
      <family val="2"/>
      <scheme val="minor"/>
    </font>
    <font>
      <i/>
      <sz val="11"/>
      <color rgb="FFFFFFFF"/>
      <name val="Aptos Narrow"/>
      <family val="2"/>
      <scheme val="minor"/>
    </font>
    <font>
      <b/>
      <sz val="11"/>
      <color rgb="FFFF0000"/>
      <name val="Aptos Narrow"/>
      <family val="2"/>
      <scheme val="minor"/>
    </font>
    <font>
      <b/>
      <sz val="10"/>
      <color rgb="FF000000"/>
      <name val="Aptos Narrow"/>
      <family val="2"/>
      <scheme val="minor"/>
    </font>
    <font>
      <sz val="10"/>
      <color rgb="FF000000"/>
      <name val="Aptos Narrow"/>
      <family val="2"/>
      <scheme val="minor"/>
    </font>
    <font>
      <b/>
      <sz val="10"/>
      <color rgb="FFFFFFFF"/>
      <name val="Arial"/>
      <charset val="1"/>
    </font>
    <font>
      <b/>
      <sz val="10"/>
      <color rgb="FFFFFFFF"/>
      <name val="Arial"/>
    </font>
    <font>
      <sz val="10"/>
      <color rgb="FF000000"/>
      <name val="Calibri"/>
    </font>
    <font>
      <sz val="10"/>
      <color rgb="FF000000"/>
      <name val="Aptos Narrow"/>
    </font>
    <font>
      <sz val="11"/>
      <color rgb="FF000000"/>
      <name val="Aptos Narrow"/>
    </font>
    <font>
      <sz val="10"/>
      <name val="Times New Roman"/>
      <family val="1"/>
      <charset val="1"/>
    </font>
    <font>
      <sz val="11"/>
      <color rgb="FF000000"/>
      <name val="Aptos Narrow"/>
      <family val="2"/>
    </font>
    <font>
      <sz val="10"/>
      <name val="Times New Roman"/>
      <family val="1"/>
    </font>
    <font>
      <sz val="11"/>
      <color theme="1"/>
      <name val="Segoe UI"/>
      <charset val="1"/>
    </font>
    <font>
      <sz val="11"/>
      <color rgb="FF000000"/>
      <name val="Segoe UI"/>
    </font>
    <font>
      <sz val="12"/>
      <color rgb="FF000000"/>
      <name val="Aptos Narrow"/>
      <family val="2"/>
    </font>
    <font>
      <b/>
      <sz val="16"/>
      <color rgb="FFFFFFFF"/>
      <name val="Calibri"/>
    </font>
    <font>
      <i/>
      <sz val="9"/>
      <color rgb="FFC7D6F0"/>
      <name val="Calibri"/>
    </font>
    <font>
      <b/>
      <sz val="12"/>
      <color rgb="FFFFFFFF"/>
      <name val="Calibri"/>
    </font>
    <font>
      <sz val="8"/>
      <color rgb="FFFFFFFF"/>
      <name val="Calibri"/>
    </font>
    <font>
      <b/>
      <sz val="22"/>
      <color rgb="FFFFFFFF"/>
      <name val="Calibri"/>
    </font>
    <font>
      <i/>
      <sz val="8"/>
      <color rgb="FFFFFFFF"/>
      <name val="Calibri"/>
    </font>
    <font>
      <b/>
      <sz val="9"/>
      <color rgb="FFFFFFFF"/>
      <name val="Calibri"/>
    </font>
    <font>
      <b/>
      <sz val="9"/>
      <color rgb="FF1B2A4A"/>
      <name val="Calibri"/>
    </font>
    <font>
      <sz val="9"/>
      <color rgb="FF475569"/>
      <name val="Calibri"/>
    </font>
    <font>
      <sz val="9"/>
      <color rgb="FFD97706"/>
      <name val="Calibri"/>
    </font>
    <font>
      <b/>
      <sz val="9"/>
      <color rgb="FF16A34A"/>
      <name val="Calibri"/>
    </font>
    <font>
      <sz val="9"/>
      <color rgb="FF3B82C4"/>
      <name val="Calibri"/>
    </font>
    <font>
      <sz val="9"/>
      <color rgb="FF16A34A"/>
      <name val="Calibri"/>
    </font>
    <font>
      <sz val="9"/>
      <color rgb="FFDC2626"/>
      <name val="Calibri"/>
    </font>
    <font>
      <b/>
      <sz val="9"/>
      <color rgb="FF3B82C4"/>
      <name val="Calibri"/>
    </font>
    <font>
      <b/>
      <sz val="9"/>
      <color rgb="FF7C3AED"/>
      <name val="Calibri"/>
    </font>
    <font>
      <b/>
      <sz val="9"/>
      <color rgb="FFD97706"/>
      <name val="Calibri"/>
    </font>
    <font>
      <b/>
      <sz val="9"/>
      <color rgb="FFDC2626"/>
      <name val="Calibri"/>
    </font>
    <font>
      <sz val="9"/>
      <color rgb="FF64748B"/>
      <name val="Calibri"/>
    </font>
    <font>
      <sz val="18"/>
      <color rgb="FF000000"/>
      <name val="Calibri"/>
      <charset val="1"/>
    </font>
    <font>
      <sz val="9"/>
      <color rgb="FF000000"/>
      <name val="Calibri"/>
      <family val="2"/>
    </font>
    <font>
      <sz val="11"/>
      <color rgb="FF000000"/>
      <name val="Calibri"/>
      <family val="2"/>
    </font>
    <font>
      <sz val="11"/>
      <color rgb="FF000000"/>
      <name val="Calibri"/>
    </font>
    <font>
      <sz val="12"/>
      <color theme="1"/>
      <name val="Aptos"/>
      <family val="2"/>
      <charset val="1"/>
    </font>
    <font>
      <sz val="12"/>
      <color rgb="FF000000"/>
      <name val="Aptos"/>
      <family val="2"/>
    </font>
    <font>
      <sz val="11"/>
      <color rgb="FF000000"/>
      <name val="Calibri"/>
      <family val="2"/>
      <charset val="1"/>
    </font>
  </fonts>
  <fills count="48">
    <fill>
      <patternFill patternType="none"/>
    </fill>
    <fill>
      <patternFill patternType="gray125"/>
    </fill>
    <fill>
      <patternFill patternType="solid">
        <fgColor theme="3"/>
        <bgColor indexed="64"/>
      </patternFill>
    </fill>
    <fill>
      <patternFill patternType="solid">
        <fgColor rgb="FFFFFFCC"/>
      </patternFill>
    </fill>
    <fill>
      <patternFill patternType="solid">
        <fgColor theme="0"/>
        <bgColor indexed="64"/>
      </patternFill>
    </fill>
    <fill>
      <gradientFill>
        <stop position="0">
          <color theme="4"/>
        </stop>
        <stop position="1">
          <color theme="0" tint="-5.0965910824915313E-2"/>
        </stop>
      </gradientFill>
    </fill>
    <fill>
      <patternFill patternType="solid">
        <fgColor theme="6"/>
        <bgColor indexed="64"/>
      </patternFill>
    </fill>
    <fill>
      <patternFill patternType="solid">
        <fgColor theme="7" tint="0.79998168889431442"/>
        <bgColor indexed="64"/>
      </patternFill>
    </fill>
    <fill>
      <patternFill patternType="solid">
        <fgColor theme="4"/>
        <bgColor indexed="64"/>
      </patternFill>
    </fill>
    <fill>
      <patternFill patternType="solid">
        <fgColor rgb="FFC6EFCE"/>
      </patternFill>
    </fill>
    <fill>
      <patternFill patternType="solid">
        <fgColor rgb="FF1F4E79"/>
        <bgColor rgb="FF1F4E79"/>
      </patternFill>
    </fill>
    <fill>
      <patternFill patternType="solid">
        <fgColor theme="1" tint="0.499984740745262"/>
        <bgColor indexed="64"/>
      </patternFill>
    </fill>
    <fill>
      <patternFill patternType="solid">
        <fgColor rgb="FF007AC9"/>
        <bgColor indexed="64"/>
      </patternFill>
    </fill>
    <fill>
      <patternFill patternType="solid">
        <fgColor theme="2"/>
        <bgColor indexed="64"/>
      </patternFill>
    </fill>
    <fill>
      <patternFill patternType="solid">
        <fgColor rgb="FFF2F2F2"/>
      </patternFill>
    </fill>
    <fill>
      <patternFill patternType="solid">
        <fgColor theme="5"/>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9"/>
        <bgColor indexed="64"/>
      </patternFill>
    </fill>
    <fill>
      <patternFill patternType="solid">
        <fgColor theme="7" tint="-0.49998474074526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DAE9F8"/>
        <bgColor rgb="FF000000"/>
      </patternFill>
    </fill>
    <fill>
      <patternFill patternType="solid">
        <fgColor rgb="FFA6A6A6"/>
        <bgColor rgb="FF000000"/>
      </patternFill>
    </fill>
    <fill>
      <patternFill patternType="solid">
        <fgColor rgb="FFF2CEEF"/>
        <bgColor rgb="FF000000"/>
      </patternFill>
    </fill>
    <fill>
      <patternFill patternType="solid">
        <fgColor rgb="FF0C769E"/>
        <bgColor rgb="FF000000"/>
      </patternFill>
    </fill>
    <fill>
      <patternFill patternType="solid">
        <fgColor rgb="FFF2F2F2"/>
        <bgColor rgb="FF000000"/>
      </patternFill>
    </fill>
    <fill>
      <patternFill patternType="solid">
        <fgColor rgb="FFF1A983"/>
        <bgColor rgb="FF000000"/>
      </patternFill>
    </fill>
    <fill>
      <patternFill patternType="solid">
        <fgColor rgb="FFBFBFBF"/>
        <bgColor rgb="FF000000"/>
      </patternFill>
    </fill>
    <fill>
      <patternFill patternType="solid">
        <fgColor rgb="FF1B3A5C"/>
        <bgColor rgb="FF333333"/>
      </patternFill>
    </fill>
    <fill>
      <patternFill patternType="solid">
        <fgColor rgb="FF1B3A5C"/>
        <bgColor rgb="FF000000"/>
      </patternFill>
    </fill>
    <fill>
      <patternFill patternType="solid">
        <fgColor rgb="FF1B2A4A"/>
        <bgColor rgb="FF000000"/>
      </patternFill>
    </fill>
    <fill>
      <patternFill patternType="solid">
        <fgColor rgb="FF243B60"/>
        <bgColor rgb="FF000000"/>
      </patternFill>
    </fill>
    <fill>
      <patternFill patternType="solid">
        <fgColor rgb="FF2563A8"/>
        <bgColor rgb="FF000000"/>
      </patternFill>
    </fill>
    <fill>
      <patternFill patternType="solid">
        <fgColor rgb="FF3B82C4"/>
        <bgColor rgb="FF000000"/>
      </patternFill>
    </fill>
    <fill>
      <patternFill patternType="solid">
        <fgColor rgb="FF0D9488"/>
        <bgColor rgb="FF000000"/>
      </patternFill>
    </fill>
    <fill>
      <patternFill patternType="solid">
        <fgColor rgb="FFD97706"/>
        <bgColor rgb="FF000000"/>
      </patternFill>
    </fill>
    <fill>
      <patternFill patternType="solid">
        <fgColor rgb="FF7C3AED"/>
        <bgColor rgb="FF000000"/>
      </patternFill>
    </fill>
    <fill>
      <patternFill patternType="solid">
        <fgColor rgb="FF16A34A"/>
        <bgColor rgb="FF000000"/>
      </patternFill>
    </fill>
    <fill>
      <patternFill patternType="solid">
        <fgColor rgb="FFDC2626"/>
        <bgColor rgb="FF000000"/>
      </patternFill>
    </fill>
    <fill>
      <patternFill patternType="solid">
        <fgColor rgb="FF334155"/>
        <bgColor rgb="FF000000"/>
      </patternFill>
    </fill>
    <fill>
      <patternFill patternType="solid">
        <fgColor rgb="FFDBEAFE"/>
        <bgColor rgb="FF000000"/>
      </patternFill>
    </fill>
    <fill>
      <patternFill patternType="solid">
        <fgColor rgb="FFCCFBF1"/>
        <bgColor rgb="FF000000"/>
      </patternFill>
    </fill>
    <fill>
      <patternFill patternType="solid">
        <fgColor rgb="FFFEF3C7"/>
        <bgColor rgb="FF000000"/>
      </patternFill>
    </fill>
    <fill>
      <patternFill patternType="solid">
        <fgColor rgb="FFFEE2E2"/>
        <bgColor rgb="FF000000"/>
      </patternFill>
    </fill>
    <fill>
      <patternFill patternType="solid">
        <fgColor rgb="FFEDE9FE"/>
        <bgColor rgb="FF000000"/>
      </patternFill>
    </fill>
    <fill>
      <patternFill patternType="solid">
        <fgColor rgb="FFEA580C"/>
        <bgColor rgb="FF000000"/>
      </patternFill>
    </fill>
    <fill>
      <patternFill patternType="solid">
        <fgColor rgb="FFDCFCE7"/>
        <bgColor rgb="FF000000"/>
      </patternFill>
    </fill>
  </fills>
  <borders count="54">
    <border>
      <left/>
      <right/>
      <top/>
      <bottom/>
      <diagonal/>
    </border>
    <border>
      <left style="thin">
        <color rgb="FFB2B2B2"/>
      </left>
      <right style="thin">
        <color rgb="FFB2B2B2"/>
      </right>
      <top style="thin">
        <color rgb="FFB2B2B2"/>
      </top>
      <bottom style="thin">
        <color rgb="FFB2B2B2"/>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rgb="FFD0D0D0"/>
      </left>
      <right style="thin">
        <color rgb="FFD0D0D0"/>
      </right>
      <top style="thin">
        <color rgb="FFD0D0D0"/>
      </top>
      <bottom style="thin">
        <color rgb="FFD0D0D0"/>
      </bottom>
      <diagonal/>
    </border>
    <border>
      <left style="thin">
        <color rgb="FF7F7F7F"/>
      </left>
      <right style="thin">
        <color rgb="FF7F7F7F"/>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right style="thin">
        <color indexed="64"/>
      </right>
      <top style="thin">
        <color theme="1" tint="0.499984740745262"/>
      </top>
      <bottom style="thin">
        <color theme="1" tint="0.499984740745262"/>
      </bottom>
      <diagonal/>
    </border>
    <border>
      <left/>
      <right/>
      <top/>
      <bottom style="thin">
        <color theme="1" tint="0.499984740745262"/>
      </bottom>
      <diagonal/>
    </border>
    <border>
      <left/>
      <right/>
      <top style="thin">
        <color theme="1" tint="0.499984740745262"/>
      </top>
      <bottom/>
      <diagonal/>
    </border>
    <border>
      <left/>
      <right style="thin">
        <color indexed="64"/>
      </right>
      <top style="thin">
        <color theme="1" tint="0.499984740745262"/>
      </top>
      <bottom/>
      <diagonal/>
    </border>
    <border>
      <left/>
      <right style="thin">
        <color indexed="64"/>
      </right>
      <top/>
      <bottom style="thin">
        <color theme="1" tint="0.499984740745262"/>
      </bottom>
      <diagonal/>
    </border>
    <border>
      <left style="medium">
        <color theme="1" tint="0.499984740745262"/>
      </left>
      <right/>
      <top style="thin">
        <color theme="1" tint="0.499984740745262"/>
      </top>
      <bottom/>
      <diagonal/>
    </border>
    <border>
      <left style="thin">
        <color indexed="64"/>
      </left>
      <right style="thin">
        <color indexed="64"/>
      </right>
      <top style="thin">
        <color indexed="64"/>
      </top>
      <bottom/>
      <diagonal/>
    </border>
    <border>
      <left style="medium">
        <color theme="1" tint="0.499984740745262"/>
      </left>
      <right/>
      <top style="thin">
        <color theme="1" tint="0.499984740745262"/>
      </top>
      <bottom style="thin">
        <color theme="1" tint="0.499984740745262"/>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334155"/>
      </left>
      <right style="thin">
        <color rgb="FF334155"/>
      </right>
      <top style="thin">
        <color rgb="FF334155"/>
      </top>
      <bottom style="thin">
        <color rgb="FF334155"/>
      </bottom>
      <diagonal/>
    </border>
    <border>
      <left/>
      <right style="thin">
        <color rgb="FF334155"/>
      </right>
      <top style="thin">
        <color rgb="FF334155"/>
      </top>
      <bottom style="thin">
        <color rgb="FF334155"/>
      </bottom>
      <diagonal/>
    </border>
    <border>
      <left style="thin">
        <color rgb="FFCBD5E1"/>
      </left>
      <right style="thin">
        <color rgb="FFCBD5E1"/>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style="thin">
        <color rgb="FFCBD5E1"/>
      </right>
      <top/>
      <bottom style="thin">
        <color rgb="FFCBD5E1"/>
      </bottom>
      <diagonal/>
    </border>
    <border>
      <left/>
      <right style="thin">
        <color rgb="FFCBD5E1"/>
      </right>
      <top/>
      <bottom style="thin">
        <color rgb="FFCBD5E1"/>
      </bottom>
      <diagonal/>
    </border>
    <border>
      <left style="thin">
        <color rgb="FF1B2A4A"/>
      </left>
      <right style="thin">
        <color rgb="FF1B2A4A"/>
      </right>
      <top style="thin">
        <color rgb="FF1B2A4A"/>
      </top>
      <bottom style="thin">
        <color rgb="FF1B2A4A"/>
      </bottom>
      <diagonal/>
    </border>
    <border>
      <left/>
      <right style="thin">
        <color rgb="FF1B2A4A"/>
      </right>
      <top style="thin">
        <color rgb="FF1B2A4A"/>
      </top>
      <bottom style="thin">
        <color rgb="FF1B2A4A"/>
      </bottom>
      <diagonal/>
    </border>
    <border>
      <left style="thin">
        <color rgb="FF2563A8"/>
      </left>
      <right style="thin">
        <color rgb="FF2563A8"/>
      </right>
      <top style="thin">
        <color rgb="FF2563A8"/>
      </top>
      <bottom style="thin">
        <color rgb="FF2563A8"/>
      </bottom>
      <diagonal/>
    </border>
    <border>
      <left style="thin">
        <color rgb="FF0D9488"/>
      </left>
      <right style="thin">
        <color rgb="FF0D9488"/>
      </right>
      <top style="thin">
        <color rgb="FF0D9488"/>
      </top>
      <bottom style="thin">
        <color rgb="FF0D9488"/>
      </bottom>
      <diagonal/>
    </border>
    <border>
      <left style="thin">
        <color rgb="FFD97706"/>
      </left>
      <right style="thin">
        <color rgb="FFD97706"/>
      </right>
      <top style="thin">
        <color rgb="FFD97706"/>
      </top>
      <bottom style="thin">
        <color rgb="FFD97706"/>
      </bottom>
      <diagonal/>
    </border>
    <border>
      <left style="thin">
        <color rgb="FFDC2626"/>
      </left>
      <right style="thin">
        <color rgb="FFDC2626"/>
      </right>
      <top style="thin">
        <color rgb="FFDC2626"/>
      </top>
      <bottom style="thin">
        <color rgb="FFDC2626"/>
      </bottom>
      <diagonal/>
    </border>
    <border>
      <left style="thin">
        <color rgb="FF7C3AED"/>
      </left>
      <right style="thin">
        <color rgb="FF7C3AED"/>
      </right>
      <top style="thin">
        <color rgb="FF7C3AED"/>
      </top>
      <bottom style="thin">
        <color rgb="FF7C3AED"/>
      </bottom>
      <diagonal/>
    </border>
    <border>
      <left style="thin">
        <color rgb="FFCBD5E1"/>
      </left>
      <right/>
      <top style="thin">
        <color rgb="FFCBD5E1"/>
      </top>
      <bottom style="thin">
        <color rgb="FFCBD5E1"/>
      </bottom>
      <diagonal/>
    </border>
    <border>
      <left/>
      <right/>
      <top style="thin">
        <color rgb="FFCBD5E1"/>
      </top>
      <bottom style="thin">
        <color rgb="FFCBD5E1"/>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medium">
        <color rgb="FFE6E6E6"/>
      </left>
      <right style="medium">
        <color rgb="FFE6E6E6"/>
      </right>
      <top style="medium">
        <color rgb="FFE6E6E6"/>
      </top>
      <bottom style="medium">
        <color rgb="FFE6E6E6"/>
      </bottom>
      <diagonal/>
    </border>
    <border>
      <left style="medium">
        <color indexed="64"/>
      </left>
      <right style="medium">
        <color indexed="64"/>
      </right>
      <top/>
      <bottom style="medium">
        <color indexed="64"/>
      </bottom>
      <diagonal/>
    </border>
  </borders>
  <cellStyleXfs count="6">
    <xf numFmtId="0" fontId="0" fillId="0" borderId="0"/>
    <xf numFmtId="0" fontId="5" fillId="3" borderId="1" applyNumberFormat="0" applyFont="0" applyAlignment="0" applyProtection="0"/>
    <xf numFmtId="9" fontId="5" fillId="0" borderId="0" applyFont="0" applyFill="0" applyBorder="0" applyAlignment="0" applyProtection="0"/>
    <xf numFmtId="0" fontId="8" fillId="9" borderId="0" applyNumberFormat="0" applyBorder="0" applyAlignment="0" applyProtection="0"/>
    <xf numFmtId="0" fontId="1" fillId="0" borderId="0"/>
    <xf numFmtId="0" fontId="14" fillId="14" borderId="7" applyNumberFormat="0" applyAlignment="0" applyProtection="0"/>
  </cellStyleXfs>
  <cellXfs count="270">
    <xf numFmtId="0" fontId="0" fillId="0" borderId="0" xfId="0"/>
    <xf numFmtId="0" fontId="0" fillId="4" borderId="0" xfId="0" applyFill="1"/>
    <xf numFmtId="0" fontId="0" fillId="4" borderId="0" xfId="0" applyFill="1" applyAlignment="1">
      <alignment horizontal="left" vertical="top"/>
    </xf>
    <xf numFmtId="0" fontId="0" fillId="4" borderId="0" xfId="0" applyFill="1" applyAlignment="1">
      <alignment horizontal="left" vertical="center"/>
    </xf>
    <xf numFmtId="0" fontId="0" fillId="4" borderId="2" xfId="0" applyFill="1" applyBorder="1" applyAlignment="1">
      <alignment horizontal="left" vertical="center"/>
    </xf>
    <xf numFmtId="0" fontId="0" fillId="4" borderId="2" xfId="0" applyFill="1" applyBorder="1" applyAlignment="1">
      <alignment horizontal="left" vertical="top"/>
    </xf>
    <xf numFmtId="0" fontId="0" fillId="7" borderId="2" xfId="0" applyFill="1" applyBorder="1" applyAlignment="1">
      <alignment horizontal="left" vertical="top"/>
    </xf>
    <xf numFmtId="0" fontId="0" fillId="0" borderId="3" xfId="0" applyBorder="1"/>
    <xf numFmtId="0" fontId="7" fillId="6" borderId="3" xfId="0" applyFont="1" applyFill="1" applyBorder="1"/>
    <xf numFmtId="0" fontId="0" fillId="0" borderId="0" xfId="0" applyAlignment="1">
      <alignment vertical="center"/>
    </xf>
    <xf numFmtId="0" fontId="9" fillId="10" borderId="3" xfId="0" applyFont="1" applyFill="1" applyBorder="1" applyAlignment="1">
      <alignment horizontal="center" vertical="center" wrapText="1"/>
    </xf>
    <xf numFmtId="0" fontId="10" fillId="0" borderId="3" xfId="0" applyFont="1" applyBorder="1" applyAlignment="1">
      <alignment horizontal="left" vertical="top" wrapText="1"/>
    </xf>
    <xf numFmtId="0" fontId="9" fillId="10" borderId="3" xfId="0" applyFont="1" applyFill="1" applyBorder="1" applyAlignment="1">
      <alignment horizontal="center" vertical="center"/>
    </xf>
    <xf numFmtId="0" fontId="10" fillId="0" borderId="3" xfId="0" applyFont="1" applyBorder="1" applyAlignment="1">
      <alignment horizontal="left" vertical="top"/>
    </xf>
    <xf numFmtId="0" fontId="11" fillId="10" borderId="3" xfId="0" applyFont="1" applyFill="1" applyBorder="1" applyAlignment="1">
      <alignment horizontal="center" vertical="center"/>
    </xf>
    <xf numFmtId="0" fontId="2" fillId="8" borderId="0" xfId="0" applyFont="1" applyFill="1"/>
    <xf numFmtId="0" fontId="7" fillId="12" borderId="3" xfId="0" applyFont="1" applyFill="1" applyBorder="1"/>
    <xf numFmtId="0" fontId="7" fillId="12" borderId="5" xfId="0" applyFont="1" applyFill="1" applyBorder="1"/>
    <xf numFmtId="0" fontId="0" fillId="0" borderId="5" xfId="0" applyBorder="1"/>
    <xf numFmtId="0" fontId="13" fillId="13" borderId="4" xfId="0" applyFont="1" applyFill="1" applyBorder="1"/>
    <xf numFmtId="0" fontId="13" fillId="13" borderId="4" xfId="0" applyFont="1" applyFill="1" applyBorder="1" applyAlignment="1">
      <alignment horizontal="center"/>
    </xf>
    <xf numFmtId="0" fontId="10" fillId="0" borderId="6" xfId="4" applyFont="1" applyBorder="1" applyAlignment="1">
      <alignment vertical="center" wrapText="1"/>
    </xf>
    <xf numFmtId="0" fontId="7" fillId="15" borderId="3" xfId="0" applyFont="1" applyFill="1" applyBorder="1"/>
    <xf numFmtId="0" fontId="15" fillId="7" borderId="7" xfId="5" applyFont="1" applyFill="1"/>
    <xf numFmtId="0" fontId="15" fillId="7" borderId="7" xfId="5" applyFont="1" applyFill="1" applyAlignment="1">
      <alignment horizontal="left"/>
    </xf>
    <xf numFmtId="0" fontId="4" fillId="16" borderId="2" xfId="0" applyFont="1" applyFill="1" applyBorder="1" applyAlignment="1">
      <alignment horizontal="left" vertical="top"/>
    </xf>
    <xf numFmtId="0" fontId="0" fillId="16" borderId="2" xfId="0" applyFill="1" applyBorder="1" applyAlignment="1">
      <alignment horizontal="left" vertical="top"/>
    </xf>
    <xf numFmtId="9" fontId="4" fillId="16" borderId="2" xfId="0" applyNumberFormat="1" applyFont="1" applyFill="1" applyBorder="1" applyAlignment="1">
      <alignment horizontal="left" vertical="top"/>
    </xf>
    <xf numFmtId="0" fontId="0" fillId="16" borderId="2" xfId="0" applyFill="1" applyBorder="1" applyAlignment="1">
      <alignment horizontal="left" vertical="center"/>
    </xf>
    <xf numFmtId="14" fontId="0" fillId="4" borderId="10" xfId="0" applyNumberFormat="1" applyFill="1" applyBorder="1" applyAlignment="1">
      <alignment horizontal="left" vertical="center"/>
    </xf>
    <xf numFmtId="14" fontId="0" fillId="16" borderId="2" xfId="0" applyNumberFormat="1" applyFill="1" applyBorder="1" applyAlignment="1">
      <alignment horizontal="left" vertical="top"/>
    </xf>
    <xf numFmtId="0" fontId="10" fillId="0" borderId="3" xfId="0" applyFont="1" applyBorder="1" applyAlignment="1">
      <alignment horizontal="center" vertical="center"/>
    </xf>
    <xf numFmtId="0" fontId="3" fillId="2" borderId="11" xfId="0" applyFont="1" applyFill="1" applyBorder="1"/>
    <xf numFmtId="0" fontId="0" fillId="7" borderId="12" xfId="0" applyFill="1" applyBorder="1" applyAlignment="1">
      <alignment horizontal="left" vertical="top"/>
    </xf>
    <xf numFmtId="0" fontId="0" fillId="4" borderId="12" xfId="0" applyFill="1" applyBorder="1" applyAlignment="1">
      <alignment horizontal="left" vertical="top"/>
    </xf>
    <xf numFmtId="0" fontId="0" fillId="16" borderId="12" xfId="0" applyFill="1" applyBorder="1" applyAlignment="1">
      <alignment horizontal="left" vertical="top"/>
    </xf>
    <xf numFmtId="9" fontId="4" fillId="16" borderId="12" xfId="0" applyNumberFormat="1" applyFont="1" applyFill="1" applyBorder="1" applyAlignment="1">
      <alignment horizontal="left" vertical="top"/>
    </xf>
    <xf numFmtId="0" fontId="0" fillId="16" borderId="12" xfId="0" applyFill="1" applyBorder="1" applyAlignment="1">
      <alignment horizontal="left" vertical="center"/>
    </xf>
    <xf numFmtId="0" fontId="0" fillId="4" borderId="12" xfId="0" applyFill="1" applyBorder="1" applyAlignment="1">
      <alignment horizontal="left" vertical="center"/>
    </xf>
    <xf numFmtId="14" fontId="0" fillId="4" borderId="13" xfId="0" applyNumberFormat="1" applyFill="1" applyBorder="1" applyAlignment="1">
      <alignment horizontal="left" vertical="center"/>
    </xf>
    <xf numFmtId="9" fontId="0" fillId="4" borderId="3" xfId="2" applyFont="1" applyFill="1" applyBorder="1"/>
    <xf numFmtId="2" fontId="0" fillId="4" borderId="3" xfId="2" applyNumberFormat="1" applyFont="1" applyFill="1" applyBorder="1"/>
    <xf numFmtId="0" fontId="3" fillId="18" borderId="12" xfId="0" applyFont="1" applyFill="1" applyBorder="1"/>
    <xf numFmtId="0" fontId="3" fillId="18" borderId="0" xfId="0" applyFont="1" applyFill="1"/>
    <xf numFmtId="0" fontId="0" fillId="4" borderId="3" xfId="0" applyFill="1" applyBorder="1" applyAlignment="1">
      <alignment horizontal="left" vertical="center"/>
    </xf>
    <xf numFmtId="0" fontId="0" fillId="4" borderId="3" xfId="0" applyFill="1" applyBorder="1"/>
    <xf numFmtId="0" fontId="19" fillId="17" borderId="3" xfId="0" applyFont="1" applyFill="1" applyBorder="1"/>
    <xf numFmtId="0" fontId="0" fillId="16" borderId="2" xfId="0" applyFill="1" applyBorder="1" applyAlignment="1">
      <alignment horizontal="left" vertical="center" wrapText="1"/>
    </xf>
    <xf numFmtId="14" fontId="0" fillId="16" borderId="2" xfId="0" applyNumberFormat="1" applyFill="1" applyBorder="1" applyAlignment="1">
      <alignment horizontal="left" vertical="center"/>
    </xf>
    <xf numFmtId="0" fontId="0" fillId="4" borderId="3" xfId="0" applyFill="1" applyBorder="1" applyAlignment="1">
      <alignment wrapText="1"/>
    </xf>
    <xf numFmtId="9" fontId="0" fillId="16" borderId="2" xfId="0" applyNumberFormat="1" applyFill="1" applyBorder="1" applyAlignment="1">
      <alignment horizontal="left" vertical="top"/>
    </xf>
    <xf numFmtId="0" fontId="3" fillId="2" borderId="14" xfId="0" applyFont="1" applyFill="1" applyBorder="1"/>
    <xf numFmtId="0" fontId="0" fillId="7" borderId="10" xfId="0" applyFill="1" applyBorder="1" applyAlignment="1">
      <alignment horizontal="left" vertical="top"/>
    </xf>
    <xf numFmtId="0" fontId="4" fillId="7" borderId="10" xfId="0" applyFont="1" applyFill="1" applyBorder="1" applyAlignment="1">
      <alignment horizontal="left" vertical="top"/>
    </xf>
    <xf numFmtId="0" fontId="4" fillId="7" borderId="13" xfId="0" applyFont="1" applyFill="1" applyBorder="1" applyAlignment="1">
      <alignment horizontal="left" vertical="top"/>
    </xf>
    <xf numFmtId="0" fontId="20" fillId="19" borderId="0" xfId="0" applyFont="1" applyFill="1"/>
    <xf numFmtId="14" fontId="0" fillId="16" borderId="12" xfId="0" applyNumberFormat="1" applyFill="1" applyBorder="1" applyAlignment="1">
      <alignment horizontal="left" vertical="center"/>
    </xf>
    <xf numFmtId="0" fontId="0" fillId="16" borderId="15" xfId="0" applyFill="1" applyBorder="1" applyAlignment="1">
      <alignment horizontal="left" vertical="top"/>
    </xf>
    <xf numFmtId="14" fontId="0" fillId="16" borderId="12" xfId="0" applyNumberFormat="1" applyFill="1" applyBorder="1" applyAlignment="1">
      <alignment horizontal="left" vertical="top"/>
    </xf>
    <xf numFmtId="0" fontId="0" fillId="4" borderId="16" xfId="0" applyFill="1" applyBorder="1" applyAlignment="1">
      <alignment horizontal="left" vertical="center"/>
    </xf>
    <xf numFmtId="0" fontId="0" fillId="4" borderId="16" xfId="0" applyFill="1" applyBorder="1"/>
    <xf numFmtId="9" fontId="0" fillId="4" borderId="16" xfId="2" applyFont="1" applyFill="1" applyBorder="1"/>
    <xf numFmtId="2" fontId="0" fillId="4" borderId="16" xfId="2" applyNumberFormat="1" applyFont="1" applyFill="1" applyBorder="1"/>
    <xf numFmtId="0" fontId="20" fillId="21" borderId="0" xfId="0" applyFont="1" applyFill="1"/>
    <xf numFmtId="0" fontId="22" fillId="0" borderId="0" xfId="0" applyFont="1" applyAlignment="1">
      <alignment wrapText="1"/>
    </xf>
    <xf numFmtId="0" fontId="8" fillId="4" borderId="0" xfId="3" applyFill="1"/>
    <xf numFmtId="0" fontId="4" fillId="7" borderId="2" xfId="0" applyFont="1" applyFill="1" applyBorder="1" applyAlignment="1">
      <alignment horizontal="left" vertical="top"/>
    </xf>
    <xf numFmtId="0" fontId="4" fillId="7" borderId="12" xfId="0" applyFont="1" applyFill="1" applyBorder="1" applyAlignment="1">
      <alignment horizontal="left" vertical="top"/>
    </xf>
    <xf numFmtId="0" fontId="0" fillId="0" borderId="2" xfId="0" applyBorder="1" applyAlignment="1">
      <alignment horizontal="left" vertical="top"/>
    </xf>
    <xf numFmtId="0" fontId="0" fillId="0" borderId="2" xfId="0" applyBorder="1" applyAlignment="1">
      <alignment horizontal="left" vertical="center"/>
    </xf>
    <xf numFmtId="0" fontId="0" fillId="0" borderId="3" xfId="0" applyBorder="1" applyAlignment="1">
      <alignment horizontal="left" vertical="center"/>
    </xf>
    <xf numFmtId="9" fontId="0" fillId="0" borderId="3" xfId="2" applyFont="1" applyFill="1" applyBorder="1"/>
    <xf numFmtId="2" fontId="0" fillId="0" borderId="3" xfId="2" applyNumberFormat="1" applyFont="1" applyFill="1" applyBorder="1"/>
    <xf numFmtId="0" fontId="0" fillId="16" borderId="17" xfId="0" applyFill="1" applyBorder="1" applyAlignment="1">
      <alignment horizontal="left" vertical="top"/>
    </xf>
    <xf numFmtId="164" fontId="0" fillId="4" borderId="10" xfId="0" applyNumberFormat="1" applyFill="1" applyBorder="1" applyAlignment="1">
      <alignment horizontal="left" vertical="center"/>
    </xf>
    <xf numFmtId="0" fontId="23" fillId="22" borderId="16" xfId="0" applyFont="1" applyFill="1" applyBorder="1" applyAlignment="1">
      <alignment horizontal="left" vertical="center" wrapText="1"/>
    </xf>
    <xf numFmtId="0" fontId="24" fillId="23" borderId="16" xfId="0" applyFont="1" applyFill="1" applyBorder="1" applyAlignment="1">
      <alignment horizontal="left" vertical="center"/>
    </xf>
    <xf numFmtId="15" fontId="25" fillId="0" borderId="16" xfId="0" applyNumberFormat="1" applyFont="1" applyBorder="1" applyAlignment="1">
      <alignment horizontal="center" textRotation="90"/>
    </xf>
    <xf numFmtId="15" fontId="25" fillId="24" borderId="16" xfId="0" applyNumberFormat="1" applyFont="1" applyFill="1" applyBorder="1" applyAlignment="1">
      <alignment horizontal="center" textRotation="90"/>
    </xf>
    <xf numFmtId="0" fontId="26" fillId="17" borderId="18" xfId="0" applyFont="1" applyFill="1" applyBorder="1" applyAlignment="1">
      <alignment horizontal="left" vertical="center" wrapText="1"/>
    </xf>
    <xf numFmtId="0" fontId="26" fillId="0" borderId="19" xfId="0" applyFont="1" applyBorder="1" applyAlignment="1">
      <alignment horizontal="left" vertical="center"/>
    </xf>
    <xf numFmtId="0" fontId="26" fillId="0" borderId="19" xfId="0" applyFont="1" applyBorder="1" applyAlignment="1">
      <alignment horizontal="center" vertical="center"/>
    </xf>
    <xf numFmtId="0" fontId="25" fillId="0" borderId="19" xfId="0" applyFont="1" applyBorder="1" applyAlignment="1">
      <alignment horizontal="center" vertical="center"/>
    </xf>
    <xf numFmtId="0" fontId="26" fillId="0" borderId="20" xfId="0" applyFont="1" applyBorder="1" applyAlignment="1">
      <alignment horizontal="center" vertical="center"/>
    </xf>
    <xf numFmtId="0" fontId="26" fillId="0" borderId="21" xfId="0" applyFont="1" applyBorder="1" applyAlignment="1">
      <alignment horizontal="left" vertical="center" wrapText="1"/>
    </xf>
    <xf numFmtId="0" fontId="26" fillId="26" borderId="22" xfId="0" applyFont="1" applyFill="1" applyBorder="1" applyAlignment="1">
      <alignment horizontal="left" vertical="center" wrapText="1"/>
    </xf>
    <xf numFmtId="0" fontId="26" fillId="0" borderId="22" xfId="0" applyFont="1" applyBorder="1" applyAlignment="1">
      <alignment horizontal="center" vertical="center" wrapText="1"/>
    </xf>
    <xf numFmtId="0" fontId="26" fillId="0" borderId="23" xfId="0" applyFont="1" applyBorder="1" applyAlignment="1">
      <alignment horizontal="center" vertical="center" wrapText="1"/>
    </xf>
    <xf numFmtId="0" fontId="26" fillId="0" borderId="24" xfId="0" applyFont="1" applyBorder="1" applyAlignment="1">
      <alignment horizontal="left" vertical="center" wrapText="1"/>
    </xf>
    <xf numFmtId="0" fontId="26" fillId="26" borderId="3" xfId="0" applyFont="1" applyFill="1" applyBorder="1" applyAlignment="1">
      <alignment horizontal="left" vertical="center" wrapText="1"/>
    </xf>
    <xf numFmtId="0" fontId="26" fillId="0" borderId="3" xfId="0" applyFont="1" applyBorder="1" applyAlignment="1">
      <alignment horizontal="center" vertical="center" wrapText="1"/>
    </xf>
    <xf numFmtId="0" fontId="26" fillId="0" borderId="3" xfId="0" applyFont="1" applyBorder="1" applyAlignment="1">
      <alignment vertical="center"/>
    </xf>
    <xf numFmtId="0" fontId="28" fillId="27" borderId="3" xfId="0" applyFont="1" applyFill="1" applyBorder="1" applyAlignment="1">
      <alignment horizontal="center" vertical="center" wrapText="1"/>
    </xf>
    <xf numFmtId="0" fontId="26" fillId="0" borderId="26" xfId="0" applyFont="1" applyBorder="1" applyAlignment="1">
      <alignment horizontal="center" vertical="center" wrapText="1"/>
    </xf>
    <xf numFmtId="0" fontId="25" fillId="28" borderId="27" xfId="0" applyFont="1" applyFill="1" applyBorder="1" applyAlignment="1">
      <alignment horizontal="left" vertical="center" wrapText="1"/>
    </xf>
    <xf numFmtId="0" fontId="25" fillId="28" borderId="28" xfId="0" applyFont="1" applyFill="1" applyBorder="1" applyAlignment="1">
      <alignment horizontal="left" vertical="center" wrapText="1"/>
    </xf>
    <xf numFmtId="0" fontId="26" fillId="28" borderId="28" xfId="0" applyFont="1" applyFill="1" applyBorder="1" applyAlignment="1">
      <alignment horizontal="center" vertical="center" wrapText="1"/>
    </xf>
    <xf numFmtId="0" fontId="26" fillId="28" borderId="29" xfId="0" applyFont="1" applyFill="1" applyBorder="1" applyAlignment="1">
      <alignment horizontal="center" vertical="center" wrapText="1"/>
    </xf>
    <xf numFmtId="0" fontId="26" fillId="0" borderId="5" xfId="0" applyFont="1" applyBorder="1" applyAlignment="1">
      <alignment horizontal="center" vertical="center" wrapText="1"/>
    </xf>
    <xf numFmtId="0" fontId="26" fillId="0" borderId="30" xfId="0" applyFont="1" applyBorder="1" applyAlignment="1">
      <alignment horizontal="center" vertical="center" wrapText="1"/>
    </xf>
    <xf numFmtId="0" fontId="27" fillId="0" borderId="3" xfId="0" applyFont="1" applyBorder="1" applyAlignment="1">
      <alignment horizontal="center" vertical="center"/>
    </xf>
    <xf numFmtId="0" fontId="25" fillId="28" borderId="28" xfId="0" applyFont="1" applyFill="1" applyBorder="1" applyAlignment="1">
      <alignment horizontal="center" vertical="center" wrapText="1"/>
    </xf>
    <xf numFmtId="0" fontId="26" fillId="0" borderId="25" xfId="0" applyFont="1" applyBorder="1" applyAlignment="1">
      <alignment horizontal="center" vertical="center" wrapText="1"/>
    </xf>
    <xf numFmtId="0" fontId="29" fillId="27" borderId="34" xfId="0" applyFont="1" applyFill="1" applyBorder="1" applyAlignment="1">
      <alignment horizontal="center" vertical="center"/>
    </xf>
    <xf numFmtId="0" fontId="30" fillId="0" borderId="34" xfId="0" applyFont="1" applyBorder="1" applyAlignment="1">
      <alignment horizontal="center" vertical="center"/>
    </xf>
    <xf numFmtId="0" fontId="20" fillId="20" borderId="0" xfId="0" applyFont="1" applyFill="1"/>
    <xf numFmtId="0" fontId="20" fillId="0" borderId="0" xfId="0" applyFont="1"/>
    <xf numFmtId="0" fontId="26" fillId="26" borderId="5" xfId="0" applyFont="1" applyFill="1" applyBorder="1" applyAlignment="1">
      <alignment horizontal="left" vertical="center" wrapText="1"/>
    </xf>
    <xf numFmtId="0" fontId="40" fillId="0" borderId="0" xfId="0" applyFont="1"/>
    <xf numFmtId="0" fontId="39" fillId="0" borderId="0" xfId="0" applyFont="1"/>
    <xf numFmtId="0" fontId="41" fillId="0" borderId="0" xfId="0" applyFont="1"/>
    <xf numFmtId="0" fontId="48" fillId="40" borderId="35" xfId="0" applyFont="1" applyFill="1" applyBorder="1" applyAlignment="1">
      <alignment wrapText="1"/>
    </xf>
    <xf numFmtId="0" fontId="48" fillId="40" borderId="36" xfId="0" applyFont="1" applyFill="1" applyBorder="1" applyAlignment="1">
      <alignment wrapText="1"/>
    </xf>
    <xf numFmtId="0" fontId="49" fillId="41" borderId="37" xfId="0" applyFont="1" applyFill="1" applyBorder="1"/>
    <xf numFmtId="0" fontId="49" fillId="41" borderId="38" xfId="0" applyFont="1" applyFill="1" applyBorder="1"/>
    <xf numFmtId="0" fontId="50" fillId="41" borderId="38" xfId="0" applyFont="1" applyFill="1" applyBorder="1"/>
    <xf numFmtId="0" fontId="49" fillId="42" borderId="37" xfId="0" applyFont="1" applyFill="1" applyBorder="1"/>
    <xf numFmtId="0" fontId="50" fillId="42" borderId="38" xfId="0" applyFont="1" applyFill="1" applyBorder="1"/>
    <xf numFmtId="0" fontId="51" fillId="42" borderId="38" xfId="0" applyFont="1" applyFill="1" applyBorder="1"/>
    <xf numFmtId="0" fontId="49" fillId="42" borderId="38" xfId="0" applyFont="1" applyFill="1" applyBorder="1"/>
    <xf numFmtId="0" fontId="49" fillId="17" borderId="39" xfId="0" applyFont="1" applyFill="1" applyBorder="1"/>
    <xf numFmtId="0" fontId="49" fillId="17" borderId="40" xfId="0" applyFont="1" applyFill="1" applyBorder="1"/>
    <xf numFmtId="0" fontId="50" fillId="17" borderId="40" xfId="0" applyFont="1" applyFill="1" applyBorder="1"/>
    <xf numFmtId="0" fontId="51" fillId="17" borderId="40" xfId="0" applyFont="1" applyFill="1" applyBorder="1"/>
    <xf numFmtId="0" fontId="49" fillId="41" borderId="39" xfId="0" applyFont="1" applyFill="1" applyBorder="1"/>
    <xf numFmtId="0" fontId="49" fillId="41" borderId="40" xfId="0" applyFont="1" applyFill="1" applyBorder="1"/>
    <xf numFmtId="0" fontId="50" fillId="41" borderId="40" xfId="0" applyFont="1" applyFill="1" applyBorder="1"/>
    <xf numFmtId="0" fontId="49" fillId="42" borderId="39" xfId="0" applyFont="1" applyFill="1" applyBorder="1"/>
    <xf numFmtId="0" fontId="50" fillId="42" borderId="40" xfId="0" applyFont="1" applyFill="1" applyBorder="1"/>
    <xf numFmtId="0" fontId="51" fillId="42" borderId="40" xfId="0" applyFont="1" applyFill="1" applyBorder="1"/>
    <xf numFmtId="0" fontId="49" fillId="42" borderId="40" xfId="0" applyFont="1" applyFill="1" applyBorder="1"/>
    <xf numFmtId="0" fontId="48" fillId="31" borderId="41" xfId="0" applyFont="1" applyFill="1" applyBorder="1"/>
    <xf numFmtId="0" fontId="48" fillId="31" borderId="42" xfId="0" applyFont="1" applyFill="1" applyBorder="1"/>
    <xf numFmtId="0" fontId="41" fillId="31" borderId="42" xfId="0" applyFont="1" applyFill="1" applyBorder="1"/>
    <xf numFmtId="16" fontId="48" fillId="40" borderId="36" xfId="0" applyNumberFormat="1" applyFont="1" applyFill="1" applyBorder="1" applyAlignment="1">
      <alignment wrapText="1"/>
    </xf>
    <xf numFmtId="0" fontId="48" fillId="31" borderId="41" xfId="0" applyFont="1" applyFill="1" applyBorder="1" applyAlignment="1">
      <alignment wrapText="1"/>
    </xf>
    <xf numFmtId="0" fontId="48" fillId="33" borderId="43" xfId="0" applyFont="1" applyFill="1" applyBorder="1"/>
    <xf numFmtId="0" fontId="50" fillId="41" borderId="37" xfId="0" applyFont="1" applyFill="1" applyBorder="1"/>
    <xf numFmtId="0" fontId="48" fillId="35" borderId="44" xfId="0" applyFont="1" applyFill="1" applyBorder="1"/>
    <xf numFmtId="0" fontId="50" fillId="42" borderId="39" xfId="0" applyFont="1" applyFill="1" applyBorder="1"/>
    <xf numFmtId="0" fontId="48" fillId="36" borderId="45" xfId="0" applyFont="1" applyFill="1" applyBorder="1"/>
    <xf numFmtId="0" fontId="50" fillId="43" borderId="39" xfId="0" applyFont="1" applyFill="1" applyBorder="1"/>
    <xf numFmtId="0" fontId="50" fillId="43" borderId="40" xfId="0" applyFont="1" applyFill="1" applyBorder="1"/>
    <xf numFmtId="0" fontId="48" fillId="39" borderId="46" xfId="0" applyFont="1" applyFill="1" applyBorder="1"/>
    <xf numFmtId="0" fontId="50" fillId="44" borderId="39" xfId="0" applyFont="1" applyFill="1" applyBorder="1"/>
    <xf numFmtId="0" fontId="50" fillId="44" borderId="40" xfId="0" applyFont="1" applyFill="1" applyBorder="1"/>
    <xf numFmtId="0" fontId="48" fillId="37" borderId="47" xfId="0" applyFont="1" applyFill="1" applyBorder="1"/>
    <xf numFmtId="0" fontId="50" fillId="45" borderId="39" xfId="0" applyFont="1" applyFill="1" applyBorder="1"/>
    <xf numFmtId="0" fontId="50" fillId="45" borderId="40" xfId="0" applyFont="1" applyFill="1" applyBorder="1"/>
    <xf numFmtId="0" fontId="49" fillId="47" borderId="37" xfId="0" applyFont="1" applyFill="1" applyBorder="1"/>
    <xf numFmtId="0" fontId="52" fillId="47" borderId="38" xfId="0" applyFont="1" applyFill="1" applyBorder="1"/>
    <xf numFmtId="0" fontId="50" fillId="47" borderId="38" xfId="0" applyFont="1" applyFill="1" applyBorder="1"/>
    <xf numFmtId="0" fontId="53" fillId="41" borderId="38" xfId="0" applyFont="1" applyFill="1" applyBorder="1"/>
    <xf numFmtId="0" fontId="51" fillId="41" borderId="38" xfId="0" applyFont="1" applyFill="1" applyBorder="1"/>
    <xf numFmtId="0" fontId="54" fillId="41" borderId="38" xfId="0" applyFont="1" applyFill="1" applyBorder="1"/>
    <xf numFmtId="0" fontId="55" fillId="41" borderId="38" xfId="0" applyFont="1" applyFill="1" applyBorder="1"/>
    <xf numFmtId="0" fontId="56" fillId="41" borderId="40" xfId="0" applyFont="1" applyFill="1" applyBorder="1"/>
    <xf numFmtId="0" fontId="57" fillId="41" borderId="40" xfId="0" applyFont="1" applyFill="1" applyBorder="1"/>
    <xf numFmtId="0" fontId="53" fillId="42" borderId="40" xfId="0" applyFont="1" applyFill="1" applyBorder="1"/>
    <xf numFmtId="0" fontId="54" fillId="42" borderId="40" xfId="0" applyFont="1" applyFill="1" applyBorder="1"/>
    <xf numFmtId="0" fontId="55" fillId="42" borderId="40" xfId="0" applyFont="1" applyFill="1" applyBorder="1"/>
    <xf numFmtId="0" fontId="49" fillId="43" borderId="39" xfId="0" applyFont="1" applyFill="1" applyBorder="1"/>
    <xf numFmtId="0" fontId="58" fillId="43" borderId="40" xfId="0" applyFont="1" applyFill="1" applyBorder="1"/>
    <xf numFmtId="0" fontId="57" fillId="43" borderId="40" xfId="0" applyFont="1" applyFill="1" applyBorder="1"/>
    <xf numFmtId="0" fontId="49" fillId="43" borderId="40" xfId="0" applyFont="1" applyFill="1" applyBorder="1"/>
    <xf numFmtId="0" fontId="53" fillId="43" borderId="40" xfId="0" applyFont="1" applyFill="1" applyBorder="1"/>
    <xf numFmtId="0" fontId="51" fillId="43" borderId="40" xfId="0" applyFont="1" applyFill="1" applyBorder="1"/>
    <xf numFmtId="0" fontId="54" fillId="43" borderId="40" xfId="0" applyFont="1" applyFill="1" applyBorder="1"/>
    <xf numFmtId="0" fontId="55" fillId="43" borderId="40" xfId="0" applyFont="1" applyFill="1" applyBorder="1"/>
    <xf numFmtId="0" fontId="49" fillId="47" borderId="39" xfId="0" applyFont="1" applyFill="1" applyBorder="1"/>
    <xf numFmtId="0" fontId="49" fillId="47" borderId="40" xfId="0" applyFont="1" applyFill="1" applyBorder="1"/>
    <xf numFmtId="0" fontId="53" fillId="47" borderId="40" xfId="0" applyFont="1" applyFill="1" applyBorder="1"/>
    <xf numFmtId="0" fontId="51" fillId="47" borderId="40" xfId="0" applyFont="1" applyFill="1" applyBorder="1"/>
    <xf numFmtId="0" fontId="54" fillId="47" borderId="40" xfId="0" applyFont="1" applyFill="1" applyBorder="1"/>
    <xf numFmtId="0" fontId="55" fillId="47" borderId="40" xfId="0" applyFont="1" applyFill="1" applyBorder="1"/>
    <xf numFmtId="0" fontId="52" fillId="47" borderId="40" xfId="0" applyFont="1" applyFill="1" applyBorder="1"/>
    <xf numFmtId="0" fontId="50" fillId="47" borderId="40" xfId="0" applyFont="1" applyFill="1" applyBorder="1"/>
    <xf numFmtId="0" fontId="57" fillId="47" borderId="40" xfId="0" applyFont="1" applyFill="1" applyBorder="1"/>
    <xf numFmtId="0" fontId="52" fillId="41" borderId="38" xfId="0" applyFont="1" applyFill="1" applyBorder="1"/>
    <xf numFmtId="0" fontId="59" fillId="41" borderId="38" xfId="0" applyFont="1" applyFill="1" applyBorder="1"/>
    <xf numFmtId="0" fontId="57" fillId="41" borderId="38" xfId="0" applyFont="1" applyFill="1" applyBorder="1"/>
    <xf numFmtId="0" fontId="60" fillId="41" borderId="38" xfId="0" applyFont="1" applyFill="1" applyBorder="1"/>
    <xf numFmtId="0" fontId="52" fillId="42" borderId="40" xfId="0" applyFont="1" applyFill="1" applyBorder="1"/>
    <xf numFmtId="0" fontId="59" fillId="42" borderId="40" xfId="0" applyFont="1" applyFill="1" applyBorder="1"/>
    <xf numFmtId="0" fontId="57" fillId="42" borderId="40" xfId="0" applyFont="1" applyFill="1" applyBorder="1"/>
    <xf numFmtId="0" fontId="60" fillId="41" borderId="40" xfId="0" applyFont="1" applyFill="1" applyBorder="1"/>
    <xf numFmtId="0" fontId="49" fillId="44" borderId="39" xfId="0" applyFont="1" applyFill="1" applyBorder="1"/>
    <xf numFmtId="0" fontId="59" fillId="44" borderId="40" xfId="0" applyFont="1" applyFill="1" applyBorder="1"/>
    <xf numFmtId="0" fontId="60" fillId="42" borderId="40" xfId="0" applyFont="1" applyFill="1" applyBorder="1"/>
    <xf numFmtId="0" fontId="60" fillId="47" borderId="40" xfId="0" applyFont="1" applyFill="1" applyBorder="1"/>
    <xf numFmtId="0" fontId="60" fillId="43" borderId="40" xfId="0" applyFont="1" applyFill="1" applyBorder="1"/>
    <xf numFmtId="15" fontId="37" fillId="0" borderId="34" xfId="0" applyNumberFormat="1" applyFont="1" applyBorder="1"/>
    <xf numFmtId="0" fontId="0" fillId="0" borderId="34" xfId="0" applyBorder="1"/>
    <xf numFmtId="0" fontId="62" fillId="0" borderId="34" xfId="0" applyFont="1" applyBorder="1"/>
    <xf numFmtId="0" fontId="31" fillId="29" borderId="34" xfId="0" applyFont="1" applyFill="1" applyBorder="1" applyAlignment="1">
      <alignment wrapText="1"/>
    </xf>
    <xf numFmtId="0" fontId="32" fillId="30" borderId="34" xfId="0" applyFont="1" applyFill="1" applyBorder="1" applyAlignment="1">
      <alignment wrapText="1"/>
    </xf>
    <xf numFmtId="0" fontId="33" fillId="0" borderId="34" xfId="0" applyFont="1" applyBorder="1"/>
    <xf numFmtId="14" fontId="33" fillId="0" borderId="34" xfId="0" applyNumberFormat="1" applyFont="1" applyBorder="1"/>
    <xf numFmtId="14" fontId="0" fillId="0" borderId="34" xfId="0" applyNumberFormat="1" applyBorder="1"/>
    <xf numFmtId="15" fontId="0" fillId="0" borderId="34" xfId="0" applyNumberFormat="1" applyBorder="1"/>
    <xf numFmtId="14" fontId="0" fillId="0" borderId="34" xfId="0" applyNumberFormat="1" applyBorder="1" applyAlignment="1">
      <alignment horizontal="right" indent="1"/>
    </xf>
    <xf numFmtId="10" fontId="0" fillId="0" borderId="34" xfId="0" applyNumberFormat="1" applyBorder="1"/>
    <xf numFmtId="14" fontId="34" fillId="0" borderId="34" xfId="0" applyNumberFormat="1" applyFont="1" applyBorder="1"/>
    <xf numFmtId="0" fontId="0" fillId="0" borderId="34" xfId="0" applyBorder="1" applyAlignment="1">
      <alignment wrapText="1"/>
    </xf>
    <xf numFmtId="14" fontId="35" fillId="0" borderId="34" xfId="0" applyNumberFormat="1" applyFont="1" applyBorder="1"/>
    <xf numFmtId="14" fontId="36" fillId="0" borderId="34" xfId="0" applyNumberFormat="1" applyFont="1" applyBorder="1" applyAlignment="1">
      <alignment wrapText="1"/>
    </xf>
    <xf numFmtId="14" fontId="37" fillId="0" borderId="34" xfId="0" applyNumberFormat="1" applyFont="1" applyBorder="1"/>
    <xf numFmtId="15" fontId="38" fillId="0" borderId="34" xfId="0" applyNumberFormat="1" applyFont="1" applyBorder="1" applyAlignment="1">
      <alignment wrapText="1"/>
    </xf>
    <xf numFmtId="14" fontId="0" fillId="0" borderId="34" xfId="0" applyNumberFormat="1" applyBorder="1" applyAlignment="1">
      <alignment horizontal="right"/>
    </xf>
    <xf numFmtId="0" fontId="38" fillId="0" borderId="34" xfId="0" applyFont="1" applyBorder="1" applyAlignment="1">
      <alignment wrapText="1"/>
    </xf>
    <xf numFmtId="0" fontId="37" fillId="0" borderId="34" xfId="0" applyFont="1" applyBorder="1"/>
    <xf numFmtId="0" fontId="35" fillId="0" borderId="34" xfId="0" applyFont="1" applyBorder="1"/>
    <xf numFmtId="15" fontId="38" fillId="0" borderId="3" xfId="0" applyNumberFormat="1" applyFont="1" applyBorder="1" applyAlignment="1">
      <alignment wrapText="1"/>
    </xf>
    <xf numFmtId="15" fontId="38" fillId="0" borderId="5" xfId="0" applyNumberFormat="1" applyFont="1" applyBorder="1" applyAlignment="1">
      <alignment wrapText="1"/>
    </xf>
    <xf numFmtId="0" fontId="63" fillId="0" borderId="3" xfId="0" applyFont="1" applyBorder="1"/>
    <xf numFmtId="0" fontId="63" fillId="0" borderId="5" xfId="0" applyFont="1" applyBorder="1"/>
    <xf numFmtId="0" fontId="38" fillId="0" borderId="3" xfId="0" applyFont="1" applyBorder="1" applyAlignment="1">
      <alignment wrapText="1"/>
    </xf>
    <xf numFmtId="0" fontId="38" fillId="0" borderId="5" xfId="0" applyFont="1" applyBorder="1" applyAlignment="1">
      <alignment wrapText="1"/>
    </xf>
    <xf numFmtId="0" fontId="64" fillId="0" borderId="34" xfId="0" applyFont="1" applyBorder="1"/>
    <xf numFmtId="0" fontId="64" fillId="0" borderId="50" xfId="0" applyFont="1" applyBorder="1"/>
    <xf numFmtId="0" fontId="63" fillId="0" borderId="51" xfId="0" applyFont="1" applyBorder="1"/>
    <xf numFmtId="0" fontId="63" fillId="0" borderId="16" xfId="0" applyFont="1" applyBorder="1"/>
    <xf numFmtId="0" fontId="0" fillId="0" borderId="34" xfId="0" pivotButton="1" applyBorder="1"/>
    <xf numFmtId="0" fontId="64" fillId="0" borderId="5" xfId="0" applyFont="1" applyBorder="1"/>
    <xf numFmtId="0" fontId="65" fillId="0" borderId="0" xfId="0" applyFont="1"/>
    <xf numFmtId="0" fontId="66" fillId="0" borderId="52" xfId="0" applyFont="1" applyBorder="1" applyAlignment="1">
      <alignment wrapText="1"/>
    </xf>
    <xf numFmtId="0" fontId="67" fillId="0" borderId="53" xfId="0" applyFont="1" applyBorder="1"/>
    <xf numFmtId="0" fontId="12" fillId="11" borderId="8" xfId="1" applyFont="1" applyFill="1" applyBorder="1" applyAlignment="1">
      <alignment horizontal="center" vertical="center"/>
    </xf>
    <xf numFmtId="0" fontId="12" fillId="11" borderId="9" xfId="1" applyFont="1" applyFill="1" applyBorder="1" applyAlignment="1">
      <alignment horizontal="center" vertical="center"/>
    </xf>
    <xf numFmtId="0" fontId="27" fillId="25" borderId="31" xfId="0" applyFont="1" applyFill="1"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48" fillId="35" borderId="0" xfId="0" applyFont="1" applyFill="1"/>
    <xf numFmtId="0" fontId="48" fillId="33" borderId="0" xfId="0" applyFont="1" applyFill="1"/>
    <xf numFmtId="0" fontId="48" fillId="35" borderId="48" xfId="0" applyFont="1" applyFill="1" applyBorder="1"/>
    <xf numFmtId="0" fontId="48" fillId="35" borderId="49" xfId="0" applyFont="1" applyFill="1" applyBorder="1"/>
    <xf numFmtId="0" fontId="48" fillId="35" borderId="38" xfId="0" applyFont="1" applyFill="1" applyBorder="1"/>
    <xf numFmtId="0" fontId="47" fillId="46" borderId="0" xfId="0" applyFont="1" applyFill="1"/>
    <xf numFmtId="0" fontId="47" fillId="35" borderId="0" xfId="0" applyFont="1" applyFill="1"/>
    <xf numFmtId="0" fontId="46" fillId="35" borderId="0" xfId="0" applyFont="1" applyFill="1"/>
    <xf numFmtId="0" fontId="46" fillId="37" borderId="0" xfId="0" applyFont="1" applyFill="1"/>
    <xf numFmtId="0" fontId="47" fillId="31" borderId="0" xfId="0" applyFont="1" applyFill="1"/>
    <xf numFmtId="0" fontId="47" fillId="34" borderId="0" xfId="0" applyFont="1" applyFill="1"/>
    <xf numFmtId="0" fontId="47" fillId="36" borderId="0" xfId="0" applyFont="1" applyFill="1"/>
    <xf numFmtId="0" fontId="47" fillId="38" borderId="0" xfId="0" applyFont="1" applyFill="1"/>
    <xf numFmtId="0" fontId="47" fillId="37" borderId="0" xfId="0" applyFont="1" applyFill="1"/>
    <xf numFmtId="0" fontId="46" fillId="31" borderId="0" xfId="0" applyFont="1" applyFill="1"/>
    <xf numFmtId="0" fontId="46" fillId="34" borderId="0" xfId="0" applyFont="1" applyFill="1"/>
    <xf numFmtId="0" fontId="46" fillId="36" borderId="0" xfId="0" applyFont="1" applyFill="1"/>
    <xf numFmtId="0" fontId="46" fillId="38" borderId="0" xfId="0" applyFont="1" applyFill="1"/>
    <xf numFmtId="0" fontId="46" fillId="46" borderId="0" xfId="0" applyFont="1" applyFill="1"/>
    <xf numFmtId="0" fontId="44" fillId="35" borderId="0" xfId="0" applyFont="1" applyFill="1"/>
    <xf numFmtId="0" fontId="45" fillId="31" borderId="0" xfId="0" applyFont="1" applyFill="1"/>
    <xf numFmtId="0" fontId="45" fillId="34" borderId="0" xfId="0" applyFont="1" applyFill="1" applyAlignment="1">
      <alignment wrapText="1"/>
    </xf>
    <xf numFmtId="0" fontId="45" fillId="36" borderId="0" xfId="0" applyFont="1" applyFill="1" applyAlignment="1">
      <alignment wrapText="1"/>
    </xf>
    <xf numFmtId="0" fontId="45" fillId="38" borderId="0" xfId="0" applyFont="1" applyFill="1"/>
    <xf numFmtId="0" fontId="45" fillId="46" borderId="0" xfId="0" applyFont="1" applyFill="1"/>
    <xf numFmtId="0" fontId="45" fillId="35" borderId="0" xfId="0" applyFont="1" applyFill="1"/>
    <xf numFmtId="0" fontId="45" fillId="37" borderId="0" xfId="0" applyFont="1" applyFill="1"/>
    <xf numFmtId="0" fontId="46" fillId="39" borderId="0" xfId="0" applyFont="1" applyFill="1"/>
    <xf numFmtId="0" fontId="47" fillId="39" borderId="0" xfId="0" applyFont="1" applyFill="1"/>
    <xf numFmtId="0" fontId="42" fillId="31" borderId="0" xfId="0" applyFont="1" applyFill="1"/>
    <xf numFmtId="0" fontId="43" fillId="32" borderId="0" xfId="0" applyFont="1" applyFill="1"/>
    <xf numFmtId="0" fontId="44" fillId="33" borderId="0" xfId="0" applyFont="1" applyFill="1"/>
    <xf numFmtId="0" fontId="45" fillId="31" borderId="0" xfId="0" applyFont="1" applyFill="1" applyAlignment="1">
      <alignment wrapText="1"/>
    </xf>
    <xf numFmtId="0" fontId="45" fillId="35" borderId="0" xfId="0" applyFont="1" applyFill="1" applyAlignment="1">
      <alignment wrapText="1"/>
    </xf>
    <xf numFmtId="0" fontId="45" fillId="37" borderId="0" xfId="0" applyFont="1" applyFill="1" applyAlignment="1">
      <alignment wrapText="1"/>
    </xf>
    <xf numFmtId="0" fontId="45" fillId="38" borderId="0" xfId="0" applyFont="1" applyFill="1" applyAlignment="1">
      <alignment wrapText="1"/>
    </xf>
    <xf numFmtId="0" fontId="45" fillId="39" borderId="0" xfId="0" applyFont="1" applyFill="1" applyAlignment="1">
      <alignment wrapText="1"/>
    </xf>
    <xf numFmtId="0" fontId="6" fillId="5" borderId="0" xfId="0" applyFont="1" applyFill="1" applyAlignment="1">
      <alignment horizontal="center" vertical="center"/>
    </xf>
  </cellXfs>
  <cellStyles count="6">
    <cellStyle name="Calculation" xfId="5" builtinId="22"/>
    <cellStyle name="Good" xfId="3" builtinId="26"/>
    <cellStyle name="Normal" xfId="0" builtinId="0"/>
    <cellStyle name="Normal 2" xfId="4" xr:uid="{03FD311D-E1B0-46D9-8E25-6018B4147136}"/>
    <cellStyle name="Note" xfId="1" builtinId="10"/>
    <cellStyle name="Percent" xfId="2" builtinId="5"/>
  </cellStyles>
  <dxfs count="58">
    <dxf>
      <fill>
        <patternFill>
          <bgColor theme="9" tint="0.79998168889431442"/>
        </patternFill>
      </fill>
    </dxf>
    <dxf>
      <fill>
        <patternFill>
          <bgColor theme="5" tint="0.79998168889431442"/>
        </patternFill>
      </fill>
    </dxf>
    <dxf>
      <fill>
        <patternFill>
          <bgColor rgb="FFC00000"/>
        </patternFill>
      </fill>
    </dxf>
    <dxf>
      <fill>
        <patternFill>
          <bgColor rgb="FFFFC000"/>
        </patternFill>
      </fill>
    </dxf>
    <dxf>
      <fill>
        <patternFill>
          <bgColor theme="9"/>
        </patternFill>
      </fill>
    </dxf>
    <dxf>
      <fill>
        <patternFill>
          <bgColor rgb="FFC00000"/>
        </patternFill>
      </fill>
    </dxf>
    <dxf>
      <fill>
        <patternFill>
          <bgColor rgb="FFFFC000"/>
        </patternFill>
      </fill>
    </dxf>
    <dxf>
      <fill>
        <patternFill>
          <bgColor theme="9"/>
        </patternFill>
      </fill>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fill>
        <patternFill patternType="solid">
          <fgColor indexed="64"/>
          <bgColor theme="0"/>
        </patternFill>
      </fill>
      <alignment horizontal="left" vertical="center" textRotation="0" wrapText="0" indent="0" justifyLastLine="0" shrinkToFit="0" readingOrder="0"/>
      <border diagonalUp="0" diagonalDown="0">
        <left/>
        <right style="thin">
          <color indexed="64"/>
        </right>
        <top style="thin">
          <color theme="1" tint="0.499984740745262"/>
        </top>
        <bottom style="thin">
          <color theme="1" tint="0.499984740745262"/>
        </bottom>
        <vertical/>
        <horizontal/>
      </border>
    </dxf>
    <dxf>
      <numFmt numFmtId="165" formatCode="m/d/yyyy"/>
      <fill>
        <patternFill patternType="solid">
          <fgColor indexed="64"/>
          <bgColor theme="0" tint="-4.9989318521683403E-2"/>
        </patternFill>
      </fill>
      <alignment horizontal="left"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ill>
        <patternFill patternType="solid">
          <fgColor indexed="64"/>
          <bgColor theme="0" tint="-4.9989318521683403E-2"/>
        </patternFill>
      </fill>
      <alignment horizontal="left"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ill>
        <patternFill patternType="solid">
          <fgColor indexed="64"/>
          <bgColor theme="0"/>
        </patternFill>
      </fill>
      <alignment horizontal="left" vertical="top"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4"/>
        <color theme="1"/>
        <name val="Aptos Narrow"/>
        <family val="2"/>
        <scheme val="minor"/>
      </font>
      <numFmt numFmtId="13" formatCode="0%"/>
      <fill>
        <patternFill patternType="solid">
          <fgColor indexed="64"/>
          <bgColor theme="0" tint="-4.9989318521683403E-2"/>
        </patternFill>
      </fill>
      <alignment horizontal="left" vertical="top" textRotation="0" wrapText="0" indent="0" justifyLastLine="0" shrinkToFit="0" readingOrder="0"/>
      <border diagonalUp="0" diagonalDown="0">
        <left/>
        <right/>
        <top style="thin">
          <color theme="1" tint="0.499984740745262"/>
        </top>
        <bottom style="thin">
          <color theme="1" tint="0.499984740745262"/>
        </bottom>
        <vertical/>
        <horizontal/>
      </border>
    </dxf>
    <dxf>
      <fill>
        <patternFill patternType="solid">
          <fgColor indexed="64"/>
          <bgColor theme="0" tint="-4.9989318521683403E-2"/>
        </patternFill>
      </fill>
      <alignment horizontal="left" vertical="top" textRotation="0" wrapText="0" indent="0" justifyLastLine="0" shrinkToFit="0" readingOrder="0"/>
      <border diagonalUp="0" diagonalDown="0">
        <left/>
        <right/>
        <top style="thin">
          <color theme="1" tint="0.499984740745262"/>
        </top>
        <bottom style="thin">
          <color theme="1" tint="0.499984740745262"/>
        </bottom>
        <vertical/>
        <horizontal/>
      </border>
    </dxf>
    <dxf>
      <fill>
        <patternFill patternType="solid">
          <fgColor indexed="64"/>
          <bgColor theme="0" tint="-4.9989318521683403E-2"/>
        </patternFill>
      </fill>
      <alignment horizontal="left" vertical="top" textRotation="0" wrapText="0" indent="0" justifyLastLine="0" shrinkToFit="0" readingOrder="0"/>
      <border diagonalUp="0" diagonalDown="0">
        <left/>
        <right/>
        <top style="thin">
          <color theme="1" tint="0.499984740745262"/>
        </top>
        <bottom style="thin">
          <color theme="1" tint="0.499984740745262"/>
        </bottom>
        <vertical/>
        <horizontal/>
      </border>
    </dxf>
    <dxf>
      <fill>
        <patternFill patternType="solid">
          <fgColor indexed="64"/>
          <bgColor theme="0" tint="-4.9989318521683403E-2"/>
        </patternFill>
      </fill>
      <alignment horizontal="left" vertical="top" textRotation="0" wrapText="0" indent="0" justifyLastLine="0" shrinkToFit="0" readingOrder="0"/>
      <border diagonalUp="0" diagonalDown="0">
        <left/>
        <right/>
        <top style="thin">
          <color theme="1" tint="0.499984740745262"/>
        </top>
        <bottom style="thin">
          <color theme="1" tint="0.499984740745262"/>
        </bottom>
        <vertical/>
        <horizontal/>
      </border>
    </dxf>
    <dxf>
      <fill>
        <patternFill patternType="solid">
          <fgColor indexed="64"/>
          <bgColor theme="0"/>
        </patternFill>
      </fill>
      <alignment horizontal="left" vertical="top" textRotation="0" wrapText="0" indent="0" justifyLastLine="0" shrinkToFit="0" readingOrder="0"/>
      <border diagonalUp="0" diagonalDown="0">
        <left/>
        <right/>
        <top style="thin">
          <color theme="1" tint="0.499984740745262"/>
        </top>
        <bottom style="thin">
          <color theme="1" tint="0.499984740745262"/>
        </bottom>
        <vertical/>
        <horizontal/>
      </border>
    </dxf>
    <dxf>
      <fill>
        <patternFill patternType="solid">
          <fgColor indexed="64"/>
          <bgColor theme="0" tint="-4.9989318521683403E-2"/>
        </patternFill>
      </fill>
      <alignment horizontal="left" vertical="top" textRotation="0" wrapText="0" indent="0" justifyLastLine="0" shrinkToFit="0" readingOrder="0"/>
      <border diagonalUp="0" diagonalDown="0">
        <left/>
        <right/>
        <top style="thin">
          <color theme="1" tint="0.499984740745262"/>
        </top>
        <bottom style="thin">
          <color theme="1" tint="0.499984740745262"/>
        </bottom>
        <vertical/>
        <horizontal/>
      </border>
    </dxf>
    <dxf>
      <fill>
        <patternFill patternType="solid">
          <fgColor indexed="64"/>
          <bgColor theme="0" tint="-4.9989318521683403E-2"/>
        </patternFill>
      </fill>
      <alignment horizontal="left" vertical="top" textRotation="0" wrapText="0" indent="0" justifyLastLine="0" shrinkToFit="0" readingOrder="0"/>
      <border diagonalUp="0" diagonalDown="0">
        <left/>
        <right/>
        <top style="thin">
          <color theme="1" tint="0.499984740745262"/>
        </top>
        <bottom style="thin">
          <color theme="1" tint="0.499984740745262"/>
        </bottom>
        <vertical/>
        <horizontal/>
      </border>
    </dxf>
    <dxf>
      <fill>
        <patternFill patternType="solid">
          <fgColor indexed="64"/>
          <bgColor theme="0" tint="-4.9989318521683403E-2"/>
        </patternFill>
      </fill>
      <alignment horizontal="left" vertical="top" textRotation="0" wrapText="0" indent="0" justifyLastLine="0" shrinkToFit="0" readingOrder="0"/>
      <border diagonalUp="0" diagonalDown="0">
        <left/>
        <right/>
        <top style="thin">
          <color theme="1" tint="0.499984740745262"/>
        </top>
        <bottom style="thin">
          <color theme="1" tint="0.499984740745262"/>
        </bottom>
        <vertical/>
        <horizontal/>
      </border>
    </dxf>
    <dxf>
      <numFmt numFmtId="0" formatCode="General"/>
      <fill>
        <patternFill patternType="solid">
          <fgColor indexed="64"/>
          <bgColor theme="0" tint="-4.9989318521683403E-2"/>
        </patternFill>
      </fill>
      <alignment horizontal="left" vertical="top" textRotation="0" wrapText="0" indent="0" justifyLastLine="0" shrinkToFit="0" readingOrder="0"/>
      <border diagonalUp="0" diagonalDown="0">
        <left/>
        <right/>
        <top style="thin">
          <color theme="1" tint="0.499984740745262"/>
        </top>
        <bottom style="thin">
          <color theme="1" tint="0.499984740745262"/>
        </bottom>
        <vertical/>
        <horizontal/>
      </border>
    </dxf>
    <dxf>
      <fill>
        <patternFill patternType="solid">
          <fgColor indexed="64"/>
          <bgColor theme="0" tint="-4.9989318521683403E-2"/>
        </patternFill>
      </fill>
      <alignment horizontal="left" vertical="top" textRotation="0" wrapText="0" indent="0" justifyLastLine="0" shrinkToFit="0" readingOrder="0"/>
      <border diagonalUp="0" diagonalDown="0">
        <left style="medium">
          <color theme="1" tint="0.499984740745262"/>
        </left>
        <right/>
        <top style="thin">
          <color theme="1" tint="0.499984740745262"/>
        </top>
        <bottom style="thin">
          <color theme="1" tint="0.499984740745262"/>
        </bottom>
        <vertical/>
        <horizontal/>
      </border>
    </dxf>
    <dxf>
      <font>
        <b val="0"/>
        <i val="0"/>
        <strike val="0"/>
        <condense val="0"/>
        <extend val="0"/>
        <outline val="0"/>
        <shadow val="0"/>
        <u val="none"/>
        <vertAlign val="baseline"/>
        <sz val="14"/>
        <color theme="1"/>
        <name val="Aptos Narrow"/>
        <family val="2"/>
        <scheme val="minor"/>
      </font>
      <fill>
        <patternFill patternType="solid">
          <fgColor indexed="64"/>
          <bgColor theme="7" tint="0.79998168889431442"/>
        </patternFill>
      </fill>
      <alignment horizontal="left" vertical="top" textRotation="0" wrapText="0" indent="0" justifyLastLine="0" shrinkToFit="0" readingOrder="0"/>
      <border diagonalUp="0" diagonalDown="0">
        <left/>
        <right/>
        <top style="thin">
          <color theme="1" tint="0.499984740745262"/>
        </top>
        <bottom/>
        <vertical/>
        <horizontal/>
      </border>
    </dxf>
    <dxf>
      <font>
        <b val="0"/>
        <i val="0"/>
        <strike val="0"/>
        <condense val="0"/>
        <extend val="0"/>
        <outline val="0"/>
        <shadow val="0"/>
        <u val="none"/>
        <vertAlign val="baseline"/>
        <sz val="14"/>
        <color theme="1"/>
        <name val="Aptos Narrow"/>
        <family val="2"/>
        <scheme val="minor"/>
      </font>
      <fill>
        <patternFill patternType="solid">
          <fgColor indexed="64"/>
          <bgColor theme="7" tint="0.79998168889431442"/>
        </patternFill>
      </fill>
      <alignment horizontal="left" vertical="top" textRotation="0" wrapText="0" indent="0" justifyLastLine="0" shrinkToFit="0" readingOrder="0"/>
      <border diagonalUp="0" diagonalDown="0">
        <left/>
        <right style="thin">
          <color indexed="64"/>
        </right>
        <top style="thin">
          <color theme="1" tint="0.499984740745262"/>
        </top>
        <bottom style="thin">
          <color theme="1" tint="0.499984740745262"/>
        </bottom>
        <vertical/>
        <horizontal style="thin">
          <color theme="1" tint="0.499984740745262"/>
        </horizontal>
      </border>
    </dxf>
    <dxf>
      <fill>
        <patternFill patternType="solid">
          <fgColor indexed="64"/>
          <bgColor theme="7" tint="0.79998168889431442"/>
        </patternFill>
      </fill>
      <alignment horizontal="left" vertical="top" textRotation="0" wrapText="0" indent="0" justifyLastLine="0" shrinkToFit="0" readingOrder="0"/>
      <border diagonalUp="0" diagonalDown="0" outline="0">
        <left/>
        <right/>
        <top style="thin">
          <color theme="1" tint="0.499984740745262"/>
        </top>
        <bottom style="thin">
          <color theme="1" tint="0.499984740745262"/>
        </bottom>
      </border>
    </dxf>
    <dxf>
      <font>
        <b val="0"/>
        <i val="0"/>
        <strike val="0"/>
        <condense val="0"/>
        <extend val="0"/>
        <outline val="0"/>
        <shadow val="0"/>
        <u val="none"/>
        <vertAlign val="baseline"/>
        <sz val="12"/>
        <color theme="0"/>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2"/>
        <color theme="0"/>
        <name val="Aptos Narrow"/>
        <family val="2"/>
        <scheme val="minor"/>
      </font>
      <fill>
        <patternFill patternType="solid">
          <fgColor indexed="64"/>
          <bgColor theme="4" tint="0.79998168889431442"/>
        </patternFill>
      </fill>
    </dxf>
    <dxf>
      <font>
        <strike val="0"/>
        <outline val="0"/>
        <shadow val="0"/>
        <u val="none"/>
        <vertAlign val="baseline"/>
        <sz val="12"/>
        <color theme="0"/>
        <name val="Aptos Narrow"/>
        <family val="2"/>
        <scheme val="minor"/>
      </font>
      <fill>
        <patternFill patternType="solid">
          <fgColor indexed="64"/>
          <bgColor theme="7" tint="-0.499984740745262"/>
        </patternFill>
      </fill>
    </dxf>
    <dxf>
      <border outline="0">
        <top style="thin">
          <color theme="1" tint="0.499984740745262"/>
        </top>
        <bottom style="thin">
          <color theme="1" tint="0.499984740745262"/>
        </bottom>
      </border>
    </dxf>
    <dxf>
      <border outline="0">
        <bottom style="thin">
          <color theme="1" tint="0.499984740745262"/>
        </bottom>
      </border>
    </dxf>
    <dxf>
      <font>
        <b/>
        <i val="0"/>
        <strike val="0"/>
        <condense val="0"/>
        <extend val="0"/>
        <outline val="0"/>
        <shadow val="0"/>
        <u val="none"/>
        <vertAlign val="baseline"/>
        <sz val="14"/>
        <color theme="0"/>
        <name val="Aptos Narrow"/>
        <family val="2"/>
        <scheme val="minor"/>
      </font>
      <fill>
        <patternFill patternType="solid">
          <fgColor indexed="64"/>
          <bgColor theme="3"/>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colors>
    <mruColors>
      <color rgb="FFEDA59A"/>
      <color rgb="FFDAF2D0"/>
      <color rgb="FF007AC9"/>
      <color rgb="FFFFFD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LLM capabitliy build" id="{210C4F82-AC3B-F248-9C09-59ADAFFA81AE}"/>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2.834480671299" createdVersion="8" refreshedVersion="8" minRefreshableVersion="3" recordCount="300" xr:uid="{123CE36F-E125-455C-8F2A-13BB99738CC0}">
  <cacheSource type="worksheet">
    <worksheetSource ref="A1:T301" sheet="Resource level Tracking"/>
  </cacheSource>
  <cacheFields count="20">
    <cacheField name="Req #" numFmtId="0">
      <sharedItems containsNonDate="0" containsString="0" containsBlank="1"/>
    </cacheField>
    <cacheField name="Candidate Name" numFmtId="0">
      <sharedItems/>
    </cacheField>
    <cacheField name="Profile received" numFmtId="0">
      <sharedItems containsDate="1" containsBlank="1" containsMixedTypes="1" minDate="2026-05-05T00:00:00" maxDate="2026-08-06T00:00:00"/>
    </cacheField>
    <cacheField name="Skills" numFmtId="0">
      <sharedItems count="8">
        <s v="Mobile Developer"/>
        <s v="Java Full Stack "/>
        <s v="QA_Automation"/>
        <s v="Java Backend"/>
        <s v="Architect"/>
        <s v="Sr Manager"/>
        <s v="Associate Director"/>
        <s v="Assoc Director" u="1"/>
      </sharedItems>
    </cacheField>
    <cacheField name="Experience Level" numFmtId="0">
      <sharedItems containsBlank="1"/>
    </cacheField>
    <cacheField name="Notice Period" numFmtId="0">
      <sharedItems containsBlank="1"/>
    </cacheField>
    <cacheField name="Recuriting Stage" numFmtId="0">
      <sharedItems containsBlank="1" count="5">
        <s v="Interviewing"/>
        <s v="Not Selected"/>
        <s v="Screening"/>
        <s v="Selected"/>
        <m u="1"/>
      </sharedItems>
    </cacheField>
    <cacheField name="R1 Assessment Date" numFmtId="14">
      <sharedItems containsNonDate="0" containsDate="1" containsString="0" containsBlank="1" minDate="2026-05-08T00:00:00" maxDate="2026-06-23T00:00:00"/>
    </cacheField>
    <cacheField name="R1 Assessment Feedback" numFmtId="0">
      <sharedItems containsBlank="1"/>
    </cacheField>
    <cacheField name="R2 Assessment Date" numFmtId="0">
      <sharedItems containsNonDate="0" containsDate="1" containsString="0" containsBlank="1" minDate="2026-05-13T00:00:00" maxDate="2026-06-20T00:00:00"/>
    </cacheField>
    <cacheField name="R2 Assessment feedback" numFmtId="0">
      <sharedItems containsDate="1" containsBlank="1" containsMixedTypes="1" minDate="2026-06-12T00:00:00" maxDate="2026-06-18T00:00:00"/>
    </cacheField>
    <cacheField name="Final Status" numFmtId="0">
      <sharedItems count="13">
        <s v="R2 Reject"/>
        <s v="R1 Reject"/>
        <s v="R1 to be Scheduled"/>
        <s v="Client Reject"/>
        <s v="R2 Select"/>
        <s v="Client Interview Scheduled"/>
        <s v="Client Interview Dropout"/>
        <s v="R2 to be Scheduled"/>
        <s v="R2 Scheduled"/>
        <s v="Client Feedback Pending"/>
        <s v="Client Select"/>
        <s v="Interview Dropout"/>
        <s v="R1 Scheduled"/>
      </sharedItems>
    </cacheField>
    <cacheField name="Date Submitted_x000a_to Client" numFmtId="0">
      <sharedItems containsNonDate="0" containsString="0" containsBlank="1"/>
    </cacheField>
    <cacheField name="Client Interviewer" numFmtId="0">
      <sharedItems containsBlank="1"/>
    </cacheField>
    <cacheField name="Client Interview_x000a_Date" numFmtId="0">
      <sharedItems containsNonDate="0" containsDate="1" containsString="0" containsBlank="1" minDate="2026-06-08T00:00:00" maxDate="2026-06-20T00:00:00"/>
    </cacheField>
    <cacheField name="Feedback Due Date_x000a_(Auto: +3 Bus. Days)" numFmtId="0">
      <sharedItems containsNonDate="0" containsString="0" containsBlank="1"/>
    </cacheField>
    <cacheField name="Date Feedback_x000a_Received" numFmtId="0">
      <sharedItems containsNonDate="0" containsString="0" containsBlank="1"/>
    </cacheField>
    <cacheField name="Client Decision" numFmtId="0">
      <sharedItems containsNonDate="0" containsString="0" containsBlank="1"/>
    </cacheField>
    <cacheField name="Hire Type" numFmtId="0">
      <sharedItems containsNonDate="0" containsString="0" containsBlank="1"/>
    </cacheField>
    <cacheField name="Rejection Reason_x000a_(if Rejected)"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m/>
    <s v="SEKHAR MOHANTA"/>
    <d v="2026-05-05T00:00:00"/>
    <x v="0"/>
    <m/>
    <m/>
    <x v="0"/>
    <d v="2026-05-12T00:00:00"/>
    <s v="R1 Select"/>
    <d v="2026-05-22T00:00:00"/>
    <s v="R2 Reject"/>
    <x v="0"/>
    <m/>
    <m/>
    <m/>
    <m/>
    <m/>
    <m/>
    <m/>
    <m/>
  </r>
  <r>
    <m/>
    <s v="UPENDRA CHETPALLI"/>
    <d v="2026-05-05T00:00:00"/>
    <x v="0"/>
    <m/>
    <m/>
    <x v="1"/>
    <d v="2026-05-15T00:00:00"/>
    <s v="R1 Reject"/>
    <m/>
    <m/>
    <x v="1"/>
    <m/>
    <m/>
    <m/>
    <m/>
    <m/>
    <m/>
    <m/>
    <m/>
  </r>
  <r>
    <m/>
    <s v="Vinay Kumar Peddi"/>
    <d v="2026-05-05T00:00:00"/>
    <x v="0"/>
    <m/>
    <m/>
    <x v="1"/>
    <d v="2026-05-12T00:00:00"/>
    <s v="R1 Reject"/>
    <m/>
    <m/>
    <x v="1"/>
    <m/>
    <m/>
    <m/>
    <m/>
    <m/>
    <m/>
    <m/>
    <m/>
  </r>
  <r>
    <m/>
    <s v="Anshu Kumari"/>
    <d v="2026-05-05T00:00:00"/>
    <x v="0"/>
    <m/>
    <m/>
    <x v="1"/>
    <d v="2026-05-13T00:00:00"/>
    <s v="R1 Select"/>
    <d v="2026-05-15T00:00:00"/>
    <s v="R2 Reject"/>
    <x v="0"/>
    <m/>
    <m/>
    <m/>
    <m/>
    <m/>
    <m/>
    <m/>
    <m/>
  </r>
  <r>
    <m/>
    <s v="Pranita Pandharinath Lohakare"/>
    <d v="2026-05-05T00:00:00"/>
    <x v="0"/>
    <m/>
    <m/>
    <x v="2"/>
    <m/>
    <m/>
    <m/>
    <m/>
    <x v="2"/>
    <m/>
    <m/>
    <m/>
    <m/>
    <m/>
    <m/>
    <m/>
    <m/>
  </r>
  <r>
    <m/>
    <s v="Anjaneyulu T C"/>
    <d v="2026-05-05T00:00:00"/>
    <x v="1"/>
    <m/>
    <m/>
    <x v="2"/>
    <m/>
    <m/>
    <m/>
    <m/>
    <x v="2"/>
    <m/>
    <m/>
    <m/>
    <m/>
    <m/>
    <m/>
    <m/>
    <m/>
  </r>
  <r>
    <m/>
    <s v="Bala Bhaskar Ashok"/>
    <d v="2026-05-05T00:00:00"/>
    <x v="1"/>
    <m/>
    <m/>
    <x v="2"/>
    <m/>
    <m/>
    <m/>
    <m/>
    <x v="2"/>
    <m/>
    <m/>
    <m/>
    <m/>
    <m/>
    <m/>
    <m/>
    <m/>
  </r>
  <r>
    <m/>
    <s v="Naresh Reddy"/>
    <d v="2026-05-05T00:00:00"/>
    <x v="1"/>
    <m/>
    <m/>
    <x v="2"/>
    <m/>
    <m/>
    <m/>
    <m/>
    <x v="2"/>
    <m/>
    <m/>
    <m/>
    <m/>
    <m/>
    <m/>
    <m/>
    <m/>
  </r>
  <r>
    <m/>
    <s v="Satheesh L"/>
    <d v="2026-05-05T00:00:00"/>
    <x v="1"/>
    <s v="Lead Senior Associate"/>
    <s v="20 days"/>
    <x v="0"/>
    <d v="2026-05-23T00:00:00"/>
    <s v="R1 Select"/>
    <d v="2026-05-23T00:00:00"/>
    <s v="R2 Select"/>
    <x v="3"/>
    <m/>
    <s v="Mu Qiao; Bhaskar Hazarika; George Baxter"/>
    <d v="2026-06-12T00:00:00"/>
    <m/>
    <m/>
    <m/>
    <m/>
    <m/>
  </r>
  <r>
    <m/>
    <s v="PRASHANT KUMAR"/>
    <d v="2026-05-05T00:00:00"/>
    <x v="1"/>
    <m/>
    <m/>
    <x v="2"/>
    <m/>
    <m/>
    <m/>
    <m/>
    <x v="2"/>
    <m/>
    <m/>
    <m/>
    <m/>
    <m/>
    <m/>
    <m/>
    <m/>
  </r>
  <r>
    <m/>
    <s v="Abdul Rahiman Giddesagari"/>
    <d v="2026-05-05T00:00:00"/>
    <x v="2"/>
    <m/>
    <m/>
    <x v="2"/>
    <m/>
    <m/>
    <m/>
    <m/>
    <x v="2"/>
    <m/>
    <m/>
    <m/>
    <m/>
    <m/>
    <m/>
    <m/>
    <m/>
  </r>
  <r>
    <m/>
    <s v="Abhilash Chikkondra"/>
    <d v="2026-05-05T00:00:00"/>
    <x v="2"/>
    <s v="Lead Associate"/>
    <s v="15 days"/>
    <x v="0"/>
    <d v="2026-05-23T00:00:00"/>
    <s v="R1 Select"/>
    <d v="2026-05-23T00:00:00"/>
    <s v="R2 Select"/>
    <x v="4"/>
    <m/>
    <m/>
    <m/>
    <m/>
    <m/>
    <m/>
    <m/>
    <m/>
  </r>
  <r>
    <m/>
    <s v="Yashvanth Kumar Vasamsetti"/>
    <d v="2026-05-05T00:00:00"/>
    <x v="2"/>
    <m/>
    <m/>
    <x v="1"/>
    <d v="2026-05-12T00:00:00"/>
    <s v="R1 Reject"/>
    <m/>
    <m/>
    <x v="1"/>
    <m/>
    <m/>
    <m/>
    <m/>
    <m/>
    <m/>
    <m/>
    <m/>
  </r>
  <r>
    <m/>
    <s v="TIRUMALASETTI VEERA MANIKANTA"/>
    <d v="2026-05-05T00:00:00"/>
    <x v="2"/>
    <m/>
    <m/>
    <x v="2"/>
    <m/>
    <m/>
    <m/>
    <m/>
    <x v="2"/>
    <m/>
    <m/>
    <m/>
    <m/>
    <m/>
    <m/>
    <m/>
    <m/>
  </r>
  <r>
    <m/>
    <s v="Mohammed Sana"/>
    <d v="2026-05-05T00:00:00"/>
    <x v="2"/>
    <m/>
    <m/>
    <x v="2"/>
    <m/>
    <m/>
    <m/>
    <m/>
    <x v="2"/>
    <m/>
    <m/>
    <m/>
    <m/>
    <m/>
    <m/>
    <m/>
    <m/>
  </r>
  <r>
    <m/>
    <s v="Md Saddam Hussain"/>
    <d v="2026-06-05T00:00:00"/>
    <x v="3"/>
    <m/>
    <m/>
    <x v="2"/>
    <m/>
    <m/>
    <m/>
    <m/>
    <x v="2"/>
    <m/>
    <m/>
    <m/>
    <m/>
    <m/>
    <m/>
    <m/>
    <m/>
  </r>
  <r>
    <m/>
    <s v="TALAGAPU SHYAM SUNDRA"/>
    <d v="2026-06-05T00:00:00"/>
    <x v="3"/>
    <m/>
    <m/>
    <x v="2"/>
    <m/>
    <m/>
    <m/>
    <m/>
    <x v="2"/>
    <m/>
    <m/>
    <m/>
    <m/>
    <m/>
    <m/>
    <m/>
    <m/>
  </r>
  <r>
    <m/>
    <s v="Bindu Priyanka Ganapathi"/>
    <d v="2026-06-05T00:00:00"/>
    <x v="3"/>
    <m/>
    <m/>
    <x v="2"/>
    <m/>
    <m/>
    <m/>
    <m/>
    <x v="2"/>
    <m/>
    <m/>
    <m/>
    <m/>
    <m/>
    <m/>
    <m/>
    <m/>
  </r>
  <r>
    <m/>
    <s v="Thalari Manohar"/>
    <d v="2026-06-05T00:00:00"/>
    <x v="3"/>
    <m/>
    <m/>
    <x v="2"/>
    <m/>
    <m/>
    <m/>
    <m/>
    <x v="2"/>
    <m/>
    <m/>
    <m/>
    <m/>
    <m/>
    <m/>
    <m/>
    <m/>
  </r>
  <r>
    <m/>
    <s v="Harish Kateghar"/>
    <d v="2026-06-05T00:00:00"/>
    <x v="3"/>
    <m/>
    <m/>
    <x v="2"/>
    <m/>
    <m/>
    <m/>
    <m/>
    <x v="2"/>
    <m/>
    <m/>
    <m/>
    <m/>
    <m/>
    <m/>
    <m/>
    <m/>
  </r>
  <r>
    <m/>
    <s v="Kushal Mehar Karri"/>
    <d v="2026-05-06T00:00:00"/>
    <x v="1"/>
    <m/>
    <m/>
    <x v="1"/>
    <d v="2026-05-08T00:00:00"/>
    <s v="R1 Reject"/>
    <m/>
    <m/>
    <x v="1"/>
    <m/>
    <m/>
    <m/>
    <m/>
    <m/>
    <m/>
    <m/>
    <m/>
  </r>
  <r>
    <m/>
    <s v="Navagana Binny Karthik"/>
    <d v="2026-05-06T00:00:00"/>
    <x v="2"/>
    <s v="Senior Associate"/>
    <s v="Immediate"/>
    <x v="0"/>
    <d v="2026-05-11T00:00:00"/>
    <s v="R1 Select"/>
    <d v="2026-05-14T00:00:00"/>
    <s v="R2 Select"/>
    <x v="4"/>
    <m/>
    <m/>
    <m/>
    <m/>
    <m/>
    <m/>
    <m/>
    <m/>
  </r>
  <r>
    <m/>
    <s v="Arun Murali"/>
    <d v="2026-05-06T00:00:00"/>
    <x v="2"/>
    <s v="Senior Associate"/>
    <s v="10 days"/>
    <x v="0"/>
    <d v="2026-05-12T00:00:00"/>
    <s v="R1 Select"/>
    <d v="2026-05-22T00:00:00"/>
    <s v="R2 Select"/>
    <x v="5"/>
    <m/>
    <m/>
    <m/>
    <m/>
    <m/>
    <m/>
    <m/>
    <m/>
  </r>
  <r>
    <m/>
    <s v="Visweswararao Vaddepalli "/>
    <d v="2026-05-06T00:00:00"/>
    <x v="2"/>
    <m/>
    <m/>
    <x v="1"/>
    <d v="2026-05-13T00:00:00"/>
    <s v="R1 Select"/>
    <d v="2026-05-18T00:00:00"/>
    <s v="R2 Reject"/>
    <x v="0"/>
    <m/>
    <m/>
    <m/>
    <m/>
    <m/>
    <m/>
    <m/>
    <m/>
  </r>
  <r>
    <m/>
    <s v="Kishore Kake"/>
    <d v="2026-05-06T00:00:00"/>
    <x v="2"/>
    <m/>
    <m/>
    <x v="1"/>
    <d v="2026-05-11T00:00:00"/>
    <s v="R1 Reject"/>
    <m/>
    <m/>
    <x v="1"/>
    <m/>
    <m/>
    <m/>
    <m/>
    <m/>
    <m/>
    <m/>
    <m/>
  </r>
  <r>
    <m/>
    <s v="Chatrapathi Shivaji Bhoothkuri"/>
    <d v="2026-05-06T00:00:00"/>
    <x v="4"/>
    <s v="Deputy Manager"/>
    <s v="45 days"/>
    <x v="0"/>
    <d v="2026-05-22T00:00:00"/>
    <s v="R1 Select"/>
    <d v="2026-05-29T00:00:00"/>
    <s v="R2 Select"/>
    <x v="3"/>
    <m/>
    <s v="Kalyan Chintam; Karthik Gupta"/>
    <d v="2026-06-15T00:00:00"/>
    <m/>
    <m/>
    <m/>
    <m/>
    <m/>
  </r>
  <r>
    <m/>
    <s v="Firoz sheik"/>
    <d v="2026-05-06T00:00:00"/>
    <x v="0"/>
    <m/>
    <m/>
    <x v="2"/>
    <m/>
    <m/>
    <m/>
    <m/>
    <x v="2"/>
    <m/>
    <m/>
    <m/>
    <m/>
    <m/>
    <m/>
    <m/>
    <m/>
  </r>
  <r>
    <m/>
    <s v="Manoj Puram"/>
    <d v="2026-05-06T00:00:00"/>
    <x v="3"/>
    <m/>
    <m/>
    <x v="1"/>
    <d v="2026-05-09T00:00:00"/>
    <s v="R1 Reject"/>
    <m/>
    <m/>
    <x v="1"/>
    <m/>
    <m/>
    <m/>
    <m/>
    <m/>
    <m/>
    <m/>
    <m/>
  </r>
  <r>
    <m/>
    <s v="Satwika Bhupathi"/>
    <d v="2026-05-06T00:00:00"/>
    <x v="3"/>
    <m/>
    <m/>
    <x v="1"/>
    <d v="2026-05-09T00:00:00"/>
    <s v="R1 Reject"/>
    <m/>
    <m/>
    <x v="1"/>
    <m/>
    <m/>
    <m/>
    <m/>
    <m/>
    <m/>
    <m/>
    <m/>
  </r>
  <r>
    <m/>
    <s v="Maram Upendar Reddy"/>
    <d v="2026-05-06T00:00:00"/>
    <x v="0"/>
    <s v="Senior Associate"/>
    <s v="50 days"/>
    <x v="0"/>
    <d v="2026-05-14T00:00:00"/>
    <s v="R1 Select"/>
    <d v="2026-05-15T00:00:00"/>
    <s v="R2 Select"/>
    <x v="5"/>
    <m/>
    <m/>
    <m/>
    <m/>
    <m/>
    <m/>
    <m/>
    <m/>
  </r>
  <r>
    <m/>
    <s v="Sivaprasad Mutluru"/>
    <d v="2026-05-06T00:00:00"/>
    <x v="0"/>
    <m/>
    <m/>
    <x v="2"/>
    <m/>
    <m/>
    <m/>
    <m/>
    <x v="2"/>
    <m/>
    <m/>
    <m/>
    <m/>
    <m/>
    <m/>
    <m/>
    <m/>
  </r>
  <r>
    <m/>
    <s v="Spandana U"/>
    <d v="2026-05-06T00:00:00"/>
    <x v="0"/>
    <m/>
    <m/>
    <x v="2"/>
    <m/>
    <m/>
    <m/>
    <m/>
    <x v="2"/>
    <m/>
    <m/>
    <m/>
    <m/>
    <m/>
    <m/>
    <m/>
    <m/>
  </r>
  <r>
    <m/>
    <s v="Radha Devi Jakkampudi"/>
    <d v="2026-05-06T00:00:00"/>
    <x v="0"/>
    <m/>
    <m/>
    <x v="2"/>
    <m/>
    <m/>
    <m/>
    <m/>
    <x v="2"/>
    <m/>
    <m/>
    <m/>
    <m/>
    <m/>
    <m/>
    <m/>
    <m/>
  </r>
  <r>
    <m/>
    <s v="Venkateswara Reddy Gangi Reddy"/>
    <d v="2026-05-06T00:00:00"/>
    <x v="3"/>
    <m/>
    <m/>
    <x v="2"/>
    <m/>
    <m/>
    <m/>
    <m/>
    <x v="2"/>
    <m/>
    <m/>
    <m/>
    <m/>
    <m/>
    <m/>
    <m/>
    <m/>
  </r>
  <r>
    <m/>
    <s v="Sandeep Bandaru"/>
    <d v="2026-05-06T00:00:00"/>
    <x v="3"/>
    <m/>
    <m/>
    <x v="2"/>
    <m/>
    <m/>
    <m/>
    <m/>
    <x v="2"/>
    <m/>
    <m/>
    <m/>
    <m/>
    <m/>
    <m/>
    <m/>
    <m/>
  </r>
  <r>
    <m/>
    <s v="Lakshmi Suhas"/>
    <d v="2026-05-06T00:00:00"/>
    <x v="2"/>
    <m/>
    <m/>
    <x v="2"/>
    <m/>
    <m/>
    <m/>
    <m/>
    <x v="2"/>
    <m/>
    <m/>
    <m/>
    <m/>
    <m/>
    <m/>
    <m/>
    <m/>
  </r>
  <r>
    <m/>
    <s v="Kiran Raj Arugula"/>
    <d v="2026-05-06T00:00:00"/>
    <x v="1"/>
    <m/>
    <m/>
    <x v="1"/>
    <d v="2026-05-08T00:00:00"/>
    <s v="R1 Reject"/>
    <m/>
    <m/>
    <x v="1"/>
    <m/>
    <m/>
    <m/>
    <m/>
    <m/>
    <m/>
    <m/>
    <m/>
  </r>
  <r>
    <m/>
    <s v="Rambabu Amalaganti "/>
    <d v="2026-05-06T00:00:00"/>
    <x v="0"/>
    <m/>
    <m/>
    <x v="2"/>
    <m/>
    <m/>
    <m/>
    <m/>
    <x v="2"/>
    <m/>
    <m/>
    <m/>
    <m/>
    <m/>
    <m/>
    <m/>
    <m/>
  </r>
  <r>
    <m/>
    <s v="Nikhila Goriparthi "/>
    <d v="2026-05-06T00:00:00"/>
    <x v="0"/>
    <m/>
    <m/>
    <x v="2"/>
    <m/>
    <m/>
    <m/>
    <m/>
    <x v="2"/>
    <m/>
    <m/>
    <m/>
    <m/>
    <m/>
    <m/>
    <m/>
    <m/>
  </r>
  <r>
    <m/>
    <s v="Gouraji Praneeth Kumar"/>
    <d v="2026-05-06T00:00:00"/>
    <x v="0"/>
    <s v="Senior Associate"/>
    <s v="Immediate"/>
    <x v="0"/>
    <d v="2026-05-14T00:00:00"/>
    <s v="R1 Select"/>
    <d v="2026-05-22T00:00:00"/>
    <s v="R2 Select"/>
    <x v="5"/>
    <m/>
    <m/>
    <m/>
    <m/>
    <m/>
    <m/>
    <m/>
    <m/>
  </r>
  <r>
    <m/>
    <s v="Pramodh Kumar Potnuru"/>
    <d v="2026-05-06T00:00:00"/>
    <x v="2"/>
    <m/>
    <m/>
    <x v="1"/>
    <d v="2026-05-13T00:00:00"/>
    <s v="R1 Select"/>
    <d v="2026-05-14T00:00:00"/>
    <s v="R2 Reject"/>
    <x v="0"/>
    <m/>
    <m/>
    <m/>
    <m/>
    <m/>
    <m/>
    <m/>
    <m/>
  </r>
  <r>
    <m/>
    <s v="Siva Balaji"/>
    <d v="2026-05-06T00:00:00"/>
    <x v="1"/>
    <s v="Lead Senior Associate"/>
    <s v="Immediate"/>
    <x v="0"/>
    <d v="2026-05-23T00:00:00"/>
    <s v="R1 Select"/>
    <d v="2026-05-23T00:00:00"/>
    <s v="R2 Select"/>
    <x v="5"/>
    <m/>
    <s v="George Baxter; Bhaskar Hazarika; Sudha Amineni"/>
    <d v="2026-06-19T00:00:00"/>
    <m/>
    <m/>
    <m/>
    <m/>
    <m/>
  </r>
  <r>
    <m/>
    <s v="Ashish Konkatwar"/>
    <d v="2026-07-05T00:00:00"/>
    <x v="3"/>
    <m/>
    <m/>
    <x v="2"/>
    <m/>
    <m/>
    <m/>
    <m/>
    <x v="2"/>
    <m/>
    <m/>
    <m/>
    <m/>
    <m/>
    <m/>
    <m/>
    <m/>
  </r>
  <r>
    <m/>
    <s v="Harsha Vardhan Doddi"/>
    <d v="2026-07-05T00:00:00"/>
    <x v="3"/>
    <m/>
    <m/>
    <x v="2"/>
    <m/>
    <m/>
    <m/>
    <m/>
    <x v="2"/>
    <m/>
    <m/>
    <m/>
    <m/>
    <m/>
    <m/>
    <m/>
    <m/>
  </r>
  <r>
    <m/>
    <s v="Shylaja Maidam"/>
    <d v="2026-07-05T00:00:00"/>
    <x v="3"/>
    <m/>
    <m/>
    <x v="2"/>
    <m/>
    <m/>
    <m/>
    <m/>
    <x v="2"/>
    <m/>
    <m/>
    <m/>
    <m/>
    <m/>
    <m/>
    <m/>
    <m/>
  </r>
  <r>
    <m/>
    <s v="Neelam Likhitha"/>
    <d v="2026-07-05T00:00:00"/>
    <x v="3"/>
    <m/>
    <m/>
    <x v="2"/>
    <m/>
    <m/>
    <m/>
    <m/>
    <x v="2"/>
    <m/>
    <m/>
    <m/>
    <m/>
    <m/>
    <m/>
    <m/>
    <m/>
  </r>
  <r>
    <m/>
    <s v="THUTA KISHORE KUMAR"/>
    <d v="2026-07-05T00:00:00"/>
    <x v="3"/>
    <m/>
    <m/>
    <x v="2"/>
    <m/>
    <m/>
    <m/>
    <m/>
    <x v="2"/>
    <m/>
    <m/>
    <m/>
    <m/>
    <m/>
    <m/>
    <m/>
    <m/>
  </r>
  <r>
    <m/>
    <s v="Divya Senapathi"/>
    <d v="2026-05-07T00:00:00"/>
    <x v="3"/>
    <m/>
    <m/>
    <x v="2"/>
    <m/>
    <m/>
    <m/>
    <m/>
    <x v="2"/>
    <m/>
    <m/>
    <m/>
    <m/>
    <m/>
    <m/>
    <m/>
    <m/>
  </r>
  <r>
    <m/>
    <s v="Murali Ramesh Kandula"/>
    <d v="2026-05-07T00:00:00"/>
    <x v="1"/>
    <s v="Senior Associate"/>
    <s v="30 days"/>
    <x v="0"/>
    <d v="2026-05-12T00:00:00"/>
    <s v="R1 Select"/>
    <d v="2026-05-19T00:00:00"/>
    <s v="R2 Select"/>
    <x v="5"/>
    <m/>
    <m/>
    <m/>
    <m/>
    <m/>
    <m/>
    <m/>
    <m/>
  </r>
  <r>
    <m/>
    <s v="Venkat Sai Soma"/>
    <d v="2026-05-07T00:00:00"/>
    <x v="1"/>
    <m/>
    <m/>
    <x v="2"/>
    <m/>
    <m/>
    <m/>
    <m/>
    <x v="2"/>
    <m/>
    <m/>
    <m/>
    <m/>
    <m/>
    <m/>
    <m/>
    <m/>
  </r>
  <r>
    <m/>
    <s v="Abdul Rahman"/>
    <d v="2026-05-07T00:00:00"/>
    <x v="1"/>
    <m/>
    <m/>
    <x v="2"/>
    <m/>
    <m/>
    <m/>
    <m/>
    <x v="2"/>
    <m/>
    <m/>
    <m/>
    <m/>
    <m/>
    <m/>
    <m/>
    <m/>
  </r>
  <r>
    <m/>
    <s v="Sireesha Polineni"/>
    <d v="2026-05-07T00:00:00"/>
    <x v="2"/>
    <m/>
    <m/>
    <x v="2"/>
    <m/>
    <m/>
    <m/>
    <m/>
    <x v="2"/>
    <m/>
    <m/>
    <m/>
    <m/>
    <m/>
    <m/>
    <m/>
    <m/>
  </r>
  <r>
    <m/>
    <s v="Arif Basha Shaik"/>
    <d v="2026-05-07T00:00:00"/>
    <x v="2"/>
    <m/>
    <m/>
    <x v="1"/>
    <d v="2026-06-05T00:00:00"/>
    <s v="R1 Reject"/>
    <m/>
    <m/>
    <x v="1"/>
    <m/>
    <m/>
    <m/>
    <m/>
    <m/>
    <m/>
    <m/>
    <m/>
  </r>
  <r>
    <m/>
    <s v="DURGAA SAI TRINADH PEDAPATI"/>
    <d v="2026-05-07T00:00:00"/>
    <x v="1"/>
    <m/>
    <m/>
    <x v="2"/>
    <d v="2026-05-13T00:00:00"/>
    <m/>
    <m/>
    <m/>
    <x v="2"/>
    <m/>
    <m/>
    <m/>
    <m/>
    <m/>
    <m/>
    <m/>
    <m/>
  </r>
  <r>
    <m/>
    <s v="Vamshi Krishna Samala"/>
    <d v="2026-05-07T00:00:00"/>
    <x v="1"/>
    <m/>
    <m/>
    <x v="2"/>
    <m/>
    <m/>
    <m/>
    <m/>
    <x v="2"/>
    <m/>
    <m/>
    <m/>
    <m/>
    <m/>
    <m/>
    <m/>
    <m/>
  </r>
  <r>
    <m/>
    <s v="Pradeep Vaddigadda"/>
    <d v="2026-05-07T00:00:00"/>
    <x v="1"/>
    <s v="Senior Associate"/>
    <s v="20 days"/>
    <x v="0"/>
    <d v="2026-05-11T00:00:00"/>
    <s v="R1 Select"/>
    <d v="2026-05-14T00:00:00"/>
    <s v="R2 Select"/>
    <x v="4"/>
    <m/>
    <m/>
    <m/>
    <m/>
    <m/>
    <m/>
    <m/>
    <m/>
  </r>
  <r>
    <m/>
    <s v="Rakesh Gudikandula"/>
    <d v="2026-05-07T00:00:00"/>
    <x v="1"/>
    <m/>
    <m/>
    <x v="2"/>
    <m/>
    <m/>
    <m/>
    <m/>
    <x v="2"/>
    <m/>
    <m/>
    <m/>
    <m/>
    <m/>
    <m/>
    <m/>
    <m/>
  </r>
  <r>
    <m/>
    <s v="Tuta Siva Kumar"/>
    <d v="2026-05-07T00:00:00"/>
    <x v="3"/>
    <m/>
    <m/>
    <x v="0"/>
    <d v="2026-05-21T00:00:00"/>
    <s v="R1 Select"/>
    <d v="2026-06-03T00:00:00"/>
    <s v="R2 Reject"/>
    <x v="0"/>
    <m/>
    <m/>
    <m/>
    <m/>
    <m/>
    <m/>
    <m/>
    <m/>
  </r>
  <r>
    <m/>
    <s v="Sony Sai Adari"/>
    <d v="2026-05-07T00:00:00"/>
    <x v="3"/>
    <m/>
    <m/>
    <x v="2"/>
    <m/>
    <m/>
    <m/>
    <m/>
    <x v="2"/>
    <m/>
    <m/>
    <m/>
    <m/>
    <m/>
    <m/>
    <m/>
    <m/>
  </r>
  <r>
    <m/>
    <s v="Anthati Vamshi"/>
    <d v="2026-05-07T00:00:00"/>
    <x v="3"/>
    <m/>
    <m/>
    <x v="2"/>
    <m/>
    <m/>
    <m/>
    <m/>
    <x v="2"/>
    <m/>
    <m/>
    <m/>
    <m/>
    <m/>
    <m/>
    <m/>
    <m/>
  </r>
  <r>
    <m/>
    <s v="Vinod Panja"/>
    <d v="2026-05-07T00:00:00"/>
    <x v="3"/>
    <m/>
    <m/>
    <x v="2"/>
    <m/>
    <m/>
    <m/>
    <m/>
    <x v="2"/>
    <m/>
    <m/>
    <m/>
    <m/>
    <m/>
    <m/>
    <m/>
    <m/>
  </r>
  <r>
    <m/>
    <s v="Kumber Sai Kumar"/>
    <d v="2026-05-07T00:00:00"/>
    <x v="1"/>
    <m/>
    <m/>
    <x v="1"/>
    <d v="2026-05-11T00:00:00"/>
    <s v="R1 Select"/>
    <d v="2026-05-13T00:00:00"/>
    <s v="R2 Reject"/>
    <x v="0"/>
    <m/>
    <m/>
    <m/>
    <m/>
    <m/>
    <m/>
    <m/>
    <m/>
  </r>
  <r>
    <m/>
    <s v="Vamsi S"/>
    <d v="2026-05-07T00:00:00"/>
    <x v="0"/>
    <m/>
    <m/>
    <x v="2"/>
    <m/>
    <m/>
    <m/>
    <m/>
    <x v="2"/>
    <m/>
    <m/>
    <m/>
    <m/>
    <m/>
    <m/>
    <m/>
    <m/>
  </r>
  <r>
    <m/>
    <s v="Para Vidya Sagar"/>
    <d v="2026-05-07T00:00:00"/>
    <x v="3"/>
    <s v="Senior Associate"/>
    <s v="20 days"/>
    <x v="0"/>
    <d v="2026-05-20T00:00:00"/>
    <s v="R1 Select"/>
    <d v="2026-05-22T00:00:00"/>
    <s v="R2 Select"/>
    <x v="6"/>
    <m/>
    <s v="George Baxter; Bhaskar Hazarika; Sudha Amineni"/>
    <d v="2026-06-15T00:00:00"/>
    <m/>
    <m/>
    <m/>
    <m/>
    <m/>
  </r>
  <r>
    <m/>
    <s v="Tarang Mishra"/>
    <d v="2026-05-07T00:00:00"/>
    <x v="0"/>
    <m/>
    <m/>
    <x v="2"/>
    <m/>
    <m/>
    <m/>
    <m/>
    <x v="2"/>
    <m/>
    <m/>
    <m/>
    <m/>
    <m/>
    <m/>
    <m/>
    <m/>
  </r>
  <r>
    <m/>
    <s v="Gowrishankar K"/>
    <d v="2026-05-07T00:00:00"/>
    <x v="0"/>
    <m/>
    <m/>
    <x v="0"/>
    <d v="2026-05-13T00:00:00"/>
    <s v="R1 Select"/>
    <m/>
    <m/>
    <x v="7"/>
    <m/>
    <m/>
    <m/>
    <m/>
    <m/>
    <m/>
    <m/>
    <m/>
  </r>
  <r>
    <m/>
    <s v="Sureshkumar Palanisamy"/>
    <d v="2026-08-05T00:00:00"/>
    <x v="4"/>
    <m/>
    <m/>
    <x v="1"/>
    <d v="2026-05-13T00:00:00"/>
    <s v="R1 Reject"/>
    <m/>
    <m/>
    <x v="1"/>
    <m/>
    <m/>
    <m/>
    <m/>
    <m/>
    <m/>
    <m/>
    <m/>
  </r>
  <r>
    <m/>
    <s v="Prasad Podalakuru"/>
    <d v="2026-08-05T00:00:00"/>
    <x v="4"/>
    <m/>
    <m/>
    <x v="2"/>
    <m/>
    <m/>
    <m/>
    <m/>
    <x v="2"/>
    <m/>
    <m/>
    <m/>
    <m/>
    <m/>
    <m/>
    <m/>
    <m/>
  </r>
  <r>
    <m/>
    <s v="Satish Kumar Sinha"/>
    <d v="2026-08-05T00:00:00"/>
    <x v="4"/>
    <s v="Deputy Manager"/>
    <s v="Immediate"/>
    <x v="0"/>
    <d v="2026-05-14T00:00:00"/>
    <s v="R1 Select"/>
    <d v="2026-05-18T00:00:00"/>
    <s v="R2 Reject"/>
    <x v="0"/>
    <m/>
    <m/>
    <m/>
    <m/>
    <m/>
    <m/>
    <m/>
    <m/>
  </r>
  <r>
    <m/>
    <s v="Ayan Chakraborty"/>
    <d v="2026-08-05T00:00:00"/>
    <x v="4"/>
    <m/>
    <m/>
    <x v="1"/>
    <d v="2026-05-15T00:00:00"/>
    <s v="R1 Reject"/>
    <m/>
    <m/>
    <x v="1"/>
    <m/>
    <m/>
    <m/>
    <m/>
    <m/>
    <m/>
    <m/>
    <m/>
  </r>
  <r>
    <m/>
    <s v="Manoj Kumar Kap"/>
    <d v="2026-08-05T00:00:00"/>
    <x v="4"/>
    <s v="Deputy Manager"/>
    <s v="Immediate"/>
    <x v="0"/>
    <d v="2026-05-15T00:00:00"/>
    <s v="R1 Select"/>
    <d v="2026-05-20T00:00:00"/>
    <s v="R2 Select"/>
    <x v="4"/>
    <m/>
    <m/>
    <m/>
    <m/>
    <m/>
    <m/>
    <m/>
    <m/>
  </r>
  <r>
    <m/>
    <s v="Lakshminarayana Rali"/>
    <d v="2026-05-13T00:00:00"/>
    <x v="5"/>
    <m/>
    <m/>
    <x v="2"/>
    <m/>
    <m/>
    <m/>
    <m/>
    <x v="2"/>
    <m/>
    <m/>
    <m/>
    <m/>
    <m/>
    <m/>
    <m/>
    <m/>
  </r>
  <r>
    <m/>
    <s v="G Giribabu"/>
    <d v="2026-05-13T00:00:00"/>
    <x v="5"/>
    <m/>
    <m/>
    <x v="2"/>
    <m/>
    <m/>
    <m/>
    <m/>
    <x v="2"/>
    <m/>
    <m/>
    <m/>
    <m/>
    <m/>
    <m/>
    <m/>
    <m/>
  </r>
  <r>
    <m/>
    <s v="MICHAEL MADHUKAR KONDAMARRI"/>
    <d v="2026-05-13T00:00:00"/>
    <x v="5"/>
    <m/>
    <m/>
    <x v="1"/>
    <d v="2026-05-19T00:00:00"/>
    <s v="R1 Reject"/>
    <m/>
    <m/>
    <x v="1"/>
    <m/>
    <m/>
    <m/>
    <m/>
    <m/>
    <m/>
    <m/>
    <m/>
  </r>
  <r>
    <m/>
    <s v="Bhaskar Dasari"/>
    <d v="2026-05-13T00:00:00"/>
    <x v="5"/>
    <m/>
    <m/>
    <x v="1"/>
    <d v="2026-05-20T00:00:00"/>
    <s v="R1 Reject"/>
    <m/>
    <m/>
    <x v="1"/>
    <m/>
    <m/>
    <m/>
    <m/>
    <m/>
    <m/>
    <m/>
    <m/>
  </r>
  <r>
    <m/>
    <s v="Rudra Narayan Debata"/>
    <d v="2026-05-13T00:00:00"/>
    <x v="5"/>
    <m/>
    <m/>
    <x v="0"/>
    <d v="2026-06-05T00:00:00"/>
    <s v="R1 Select"/>
    <m/>
    <d v="2026-06-12T00:00:00"/>
    <x v="0"/>
    <m/>
    <m/>
    <m/>
    <m/>
    <m/>
    <m/>
    <m/>
    <m/>
  </r>
  <r>
    <m/>
    <s v="Pitchuka Durga Sai Ganesh"/>
    <d v="2026-05-13T00:00:00"/>
    <x v="1"/>
    <m/>
    <m/>
    <x v="2"/>
    <m/>
    <m/>
    <m/>
    <m/>
    <x v="2"/>
    <m/>
    <m/>
    <m/>
    <m/>
    <m/>
    <m/>
    <m/>
    <m/>
  </r>
  <r>
    <m/>
    <s v="Venkata Krishnakanth J"/>
    <d v="2026-05-13T00:00:00"/>
    <x v="1"/>
    <m/>
    <m/>
    <x v="2"/>
    <m/>
    <m/>
    <m/>
    <m/>
    <x v="2"/>
    <m/>
    <m/>
    <m/>
    <m/>
    <m/>
    <m/>
    <m/>
    <m/>
  </r>
  <r>
    <m/>
    <s v="Sai Ram Maddela"/>
    <d v="2026-05-13T00:00:00"/>
    <x v="1"/>
    <m/>
    <m/>
    <x v="2"/>
    <m/>
    <m/>
    <m/>
    <m/>
    <x v="2"/>
    <m/>
    <m/>
    <m/>
    <m/>
    <m/>
    <m/>
    <m/>
    <m/>
  </r>
  <r>
    <m/>
    <s v="Ramesh Reddy Naru"/>
    <d v="2026-05-13T00:00:00"/>
    <x v="1"/>
    <m/>
    <m/>
    <x v="2"/>
    <m/>
    <m/>
    <m/>
    <m/>
    <x v="2"/>
    <m/>
    <m/>
    <m/>
    <m/>
    <m/>
    <m/>
    <m/>
    <m/>
  </r>
  <r>
    <m/>
    <s v="S SUNNY VENKAT "/>
    <d v="2026-05-13T00:00:00"/>
    <x v="1"/>
    <m/>
    <m/>
    <x v="2"/>
    <m/>
    <m/>
    <m/>
    <m/>
    <x v="2"/>
    <m/>
    <m/>
    <m/>
    <m/>
    <m/>
    <m/>
    <m/>
    <m/>
  </r>
  <r>
    <m/>
    <s v="Narasimha Nalam"/>
    <d v="2026-05-13T00:00:00"/>
    <x v="2"/>
    <m/>
    <m/>
    <x v="1"/>
    <d v="2026-06-05T00:00:00"/>
    <s v="R1 Reject"/>
    <m/>
    <m/>
    <x v="1"/>
    <m/>
    <m/>
    <m/>
    <m/>
    <m/>
    <m/>
    <m/>
    <m/>
  </r>
  <r>
    <m/>
    <s v="Kuppam Sasi Kumar"/>
    <d v="2026-05-13T00:00:00"/>
    <x v="0"/>
    <m/>
    <m/>
    <x v="0"/>
    <d v="2026-05-21T00:00:00"/>
    <s v="R1 Select"/>
    <d v="2026-06-04T00:00:00"/>
    <s v="R2 Reject"/>
    <x v="0"/>
    <m/>
    <m/>
    <m/>
    <m/>
    <m/>
    <m/>
    <m/>
    <m/>
  </r>
  <r>
    <m/>
    <s v="Ballani Balaji "/>
    <d v="2026-05-13T00:00:00"/>
    <x v="1"/>
    <m/>
    <m/>
    <x v="2"/>
    <m/>
    <m/>
    <m/>
    <m/>
    <x v="2"/>
    <m/>
    <m/>
    <m/>
    <m/>
    <m/>
    <m/>
    <m/>
    <m/>
  </r>
  <r>
    <m/>
    <s v="Sravan Gaddam"/>
    <d v="2026-05-13T00:00:00"/>
    <x v="2"/>
    <m/>
    <m/>
    <x v="2"/>
    <m/>
    <m/>
    <m/>
    <m/>
    <x v="2"/>
    <m/>
    <m/>
    <m/>
    <m/>
    <m/>
    <m/>
    <m/>
    <m/>
  </r>
  <r>
    <m/>
    <s v="Sairam Deepala"/>
    <d v="2026-05-13T00:00:00"/>
    <x v="2"/>
    <m/>
    <m/>
    <x v="2"/>
    <m/>
    <m/>
    <m/>
    <m/>
    <x v="2"/>
    <m/>
    <m/>
    <m/>
    <m/>
    <m/>
    <m/>
    <m/>
    <m/>
  </r>
  <r>
    <m/>
    <s v="Siva Prasath R"/>
    <d v="2026-05-13T00:00:00"/>
    <x v="2"/>
    <m/>
    <m/>
    <x v="2"/>
    <m/>
    <m/>
    <m/>
    <m/>
    <x v="2"/>
    <m/>
    <m/>
    <m/>
    <m/>
    <m/>
    <m/>
    <m/>
    <m/>
  </r>
  <r>
    <m/>
    <s v="Ragiti Sivakumar"/>
    <d v="2026-05-13T00:00:00"/>
    <x v="2"/>
    <m/>
    <m/>
    <x v="2"/>
    <m/>
    <m/>
    <m/>
    <m/>
    <x v="2"/>
    <m/>
    <m/>
    <m/>
    <m/>
    <m/>
    <m/>
    <m/>
    <m/>
  </r>
  <r>
    <m/>
    <s v="Srinivas Pinninti"/>
    <d v="2026-05-13T00:00:00"/>
    <x v="6"/>
    <m/>
    <m/>
    <x v="0"/>
    <d v="2026-06-10T00:00:00"/>
    <s v="R1 Select"/>
    <d v="2026-06-12T00:00:00"/>
    <s v="R2 Select"/>
    <x v="5"/>
    <m/>
    <m/>
    <d v="2026-06-17T00:00:00"/>
    <m/>
    <m/>
    <m/>
    <m/>
    <m/>
  </r>
  <r>
    <m/>
    <s v="Aditya Akkinapragada"/>
    <d v="2026-05-13T00:00:00"/>
    <x v="5"/>
    <s v="Manager"/>
    <s v="60 days"/>
    <x v="1"/>
    <d v="2026-05-18T00:00:00"/>
    <s v="R1 Select"/>
    <d v="2026-05-21T00:00:00"/>
    <s v="R2 Select"/>
    <x v="3"/>
    <m/>
    <s v="Kalyan"/>
    <d v="2026-06-08T00:00:00"/>
    <m/>
    <m/>
    <m/>
    <m/>
    <m/>
  </r>
  <r>
    <m/>
    <s v="Ashok Balayya Chitimilla"/>
    <d v="2026-05-13T00:00:00"/>
    <x v="6"/>
    <m/>
    <m/>
    <x v="0"/>
    <d v="2026-06-16T00:00:00"/>
    <s v="R1 Select"/>
    <d v="2026-06-18T00:00:00"/>
    <m/>
    <x v="8"/>
    <m/>
    <m/>
    <m/>
    <m/>
    <m/>
    <m/>
    <m/>
    <m/>
  </r>
  <r>
    <m/>
    <s v="Abhishek Kumar"/>
    <d v="2026-05-13T00:00:00"/>
    <x v="2"/>
    <m/>
    <m/>
    <x v="2"/>
    <m/>
    <m/>
    <m/>
    <m/>
    <x v="2"/>
    <m/>
    <m/>
    <m/>
    <m/>
    <m/>
    <m/>
    <m/>
    <m/>
  </r>
  <r>
    <m/>
    <s v="Mani kumari Boddu"/>
    <d v="2026-05-13T00:00:00"/>
    <x v="2"/>
    <m/>
    <m/>
    <x v="2"/>
    <m/>
    <m/>
    <m/>
    <m/>
    <x v="2"/>
    <m/>
    <m/>
    <m/>
    <m/>
    <m/>
    <m/>
    <m/>
    <m/>
  </r>
  <r>
    <m/>
    <s v="Rekha Vupeti"/>
    <d v="2026-05-13T00:00:00"/>
    <x v="1"/>
    <m/>
    <m/>
    <x v="2"/>
    <m/>
    <m/>
    <m/>
    <m/>
    <x v="2"/>
    <m/>
    <m/>
    <m/>
    <m/>
    <m/>
    <m/>
    <m/>
    <m/>
  </r>
  <r>
    <m/>
    <s v="MAS Abul Kalam"/>
    <d v="2026-05-13T00:00:00"/>
    <x v="1"/>
    <m/>
    <m/>
    <x v="2"/>
    <m/>
    <m/>
    <m/>
    <m/>
    <x v="2"/>
    <m/>
    <m/>
    <m/>
    <m/>
    <m/>
    <m/>
    <m/>
    <m/>
  </r>
  <r>
    <m/>
    <s v="Bibhu Prasad Swain"/>
    <d v="2026-05-13T00:00:00"/>
    <x v="6"/>
    <m/>
    <m/>
    <x v="0"/>
    <d v="2026-06-09T00:00:00"/>
    <s v="R1 Select"/>
    <d v="2026-06-15T00:00:00"/>
    <s v="R2 Select"/>
    <x v="5"/>
    <m/>
    <s v="Chintam, Kalyan"/>
    <d v="2026-06-18T00:00:00"/>
    <m/>
    <m/>
    <m/>
    <m/>
    <m/>
  </r>
  <r>
    <m/>
    <s v="Ganpath Rao Bharadwaj "/>
    <d v="2026-05-13T00:00:00"/>
    <x v="2"/>
    <m/>
    <m/>
    <x v="1"/>
    <d v="2026-06-05T00:00:00"/>
    <m/>
    <m/>
    <m/>
    <x v="1"/>
    <m/>
    <m/>
    <m/>
    <m/>
    <m/>
    <m/>
    <m/>
    <m/>
  </r>
  <r>
    <m/>
    <s v="Satish Kumar JK"/>
    <d v="2026-05-13T00:00:00"/>
    <x v="6"/>
    <m/>
    <m/>
    <x v="0"/>
    <d v="2026-06-08T00:00:00"/>
    <s v="R1 Select"/>
    <d v="2026-06-09T00:00:00"/>
    <s v="R2 Select"/>
    <x v="9"/>
    <m/>
    <s v="Kalyan Chintam"/>
    <d v="2026-06-16T00:00:00"/>
    <m/>
    <m/>
    <m/>
    <m/>
    <m/>
  </r>
  <r>
    <m/>
    <s v="Pendyala Sai Krishna"/>
    <d v="2026-05-13T00:00:00"/>
    <x v="3"/>
    <m/>
    <m/>
    <x v="1"/>
    <d v="2026-05-19T00:00:00"/>
    <s v="R1 Reject"/>
    <m/>
    <m/>
    <x v="1"/>
    <m/>
    <m/>
    <m/>
    <m/>
    <m/>
    <m/>
    <m/>
    <m/>
  </r>
  <r>
    <m/>
    <s v="Kunta Avinash Venkata Gopi"/>
    <d v="2026-05-13T00:00:00"/>
    <x v="2"/>
    <m/>
    <m/>
    <x v="2"/>
    <m/>
    <m/>
    <m/>
    <m/>
    <x v="2"/>
    <m/>
    <m/>
    <m/>
    <m/>
    <m/>
    <m/>
    <m/>
    <m/>
  </r>
  <r>
    <m/>
    <s v="Moses B "/>
    <d v="2026-05-13T00:00:00"/>
    <x v="0"/>
    <m/>
    <m/>
    <x v="0"/>
    <d v="2026-05-18T00:00:00"/>
    <s v="R1 Select"/>
    <d v="2026-06-05T00:00:00"/>
    <s v="R2 Reject"/>
    <x v="0"/>
    <m/>
    <m/>
    <m/>
    <m/>
    <m/>
    <m/>
    <m/>
    <m/>
  </r>
  <r>
    <m/>
    <s v="Venkanna Gunaganti"/>
    <d v="2026-05-13T00:00:00"/>
    <x v="3"/>
    <m/>
    <m/>
    <x v="2"/>
    <m/>
    <m/>
    <m/>
    <m/>
    <x v="2"/>
    <m/>
    <m/>
    <m/>
    <m/>
    <m/>
    <m/>
    <m/>
    <m/>
  </r>
  <r>
    <m/>
    <s v="Benjamin Chhatria"/>
    <d v="2026-05-13T00:00:00"/>
    <x v="4"/>
    <m/>
    <m/>
    <x v="1"/>
    <d v="2026-05-18T00:00:00"/>
    <s v="R1 Reject"/>
    <m/>
    <m/>
    <x v="1"/>
    <m/>
    <m/>
    <m/>
    <m/>
    <m/>
    <m/>
    <m/>
    <m/>
  </r>
  <r>
    <m/>
    <s v="Mahananda Dukandar"/>
    <d v="2026-05-12T00:00:00"/>
    <x v="2"/>
    <m/>
    <m/>
    <x v="2"/>
    <m/>
    <m/>
    <m/>
    <m/>
    <x v="2"/>
    <m/>
    <m/>
    <m/>
    <m/>
    <m/>
    <m/>
    <m/>
    <m/>
  </r>
  <r>
    <m/>
    <s v="Sathwika Sheela"/>
    <d v="2026-05-12T00:00:00"/>
    <x v="2"/>
    <m/>
    <m/>
    <x v="1"/>
    <d v="2026-05-15T00:00:00"/>
    <s v="R1 Reject"/>
    <m/>
    <m/>
    <x v="1"/>
    <m/>
    <m/>
    <m/>
    <m/>
    <m/>
    <m/>
    <m/>
    <m/>
  </r>
  <r>
    <m/>
    <s v="Ravalapoodi Pavani"/>
    <d v="2026-05-12T00:00:00"/>
    <x v="2"/>
    <m/>
    <m/>
    <x v="1"/>
    <d v="2026-05-15T00:00:00"/>
    <s v="R1 Reject"/>
    <m/>
    <m/>
    <x v="1"/>
    <m/>
    <m/>
    <m/>
    <m/>
    <m/>
    <m/>
    <m/>
    <m/>
  </r>
  <r>
    <m/>
    <s v="Pitchuka Durga Sai Ganesh"/>
    <d v="2026-05-14T00:00:00"/>
    <x v="1"/>
    <m/>
    <m/>
    <x v="2"/>
    <m/>
    <m/>
    <m/>
    <m/>
    <x v="2"/>
    <m/>
    <m/>
    <m/>
    <m/>
    <m/>
    <m/>
    <m/>
    <m/>
  </r>
  <r>
    <m/>
    <s v="Venkata Krishnakanth J"/>
    <d v="2026-05-14T00:00:00"/>
    <x v="1"/>
    <m/>
    <m/>
    <x v="2"/>
    <m/>
    <m/>
    <m/>
    <m/>
    <x v="2"/>
    <m/>
    <m/>
    <m/>
    <m/>
    <m/>
    <m/>
    <m/>
    <m/>
  </r>
  <r>
    <m/>
    <s v="Sai Ram Maddela"/>
    <d v="2026-05-14T00:00:00"/>
    <x v="1"/>
    <m/>
    <m/>
    <x v="2"/>
    <m/>
    <m/>
    <m/>
    <m/>
    <x v="2"/>
    <m/>
    <m/>
    <m/>
    <m/>
    <m/>
    <m/>
    <m/>
    <m/>
  </r>
  <r>
    <m/>
    <s v="Ramesh Reddy Naru"/>
    <d v="2026-05-14T00:00:00"/>
    <x v="1"/>
    <m/>
    <m/>
    <x v="2"/>
    <m/>
    <m/>
    <m/>
    <m/>
    <x v="2"/>
    <m/>
    <m/>
    <m/>
    <m/>
    <m/>
    <m/>
    <m/>
    <m/>
  </r>
  <r>
    <m/>
    <s v="S SUNNY VENKAT "/>
    <d v="2026-05-14T00:00:00"/>
    <x v="1"/>
    <m/>
    <m/>
    <x v="2"/>
    <m/>
    <m/>
    <m/>
    <m/>
    <x v="2"/>
    <m/>
    <m/>
    <m/>
    <m/>
    <m/>
    <m/>
    <m/>
    <m/>
  </r>
  <r>
    <m/>
    <s v="Ballani Balaji "/>
    <d v="2026-05-14T00:00:00"/>
    <x v="1"/>
    <m/>
    <m/>
    <x v="2"/>
    <m/>
    <m/>
    <m/>
    <m/>
    <x v="2"/>
    <m/>
    <m/>
    <m/>
    <m/>
    <m/>
    <m/>
    <m/>
    <m/>
  </r>
  <r>
    <m/>
    <s v="Sravan Gaddam"/>
    <d v="2026-05-14T00:00:00"/>
    <x v="2"/>
    <m/>
    <m/>
    <x v="2"/>
    <m/>
    <m/>
    <m/>
    <m/>
    <x v="2"/>
    <m/>
    <m/>
    <m/>
    <m/>
    <m/>
    <m/>
    <m/>
    <m/>
  </r>
  <r>
    <m/>
    <s v="Sairam Deepala"/>
    <d v="2026-05-14T00:00:00"/>
    <x v="2"/>
    <m/>
    <m/>
    <x v="2"/>
    <m/>
    <m/>
    <m/>
    <m/>
    <x v="2"/>
    <m/>
    <m/>
    <m/>
    <m/>
    <m/>
    <m/>
    <m/>
    <m/>
  </r>
  <r>
    <m/>
    <s v="Siva Prasath R"/>
    <d v="2026-05-14T00:00:00"/>
    <x v="2"/>
    <m/>
    <m/>
    <x v="2"/>
    <m/>
    <m/>
    <m/>
    <m/>
    <x v="2"/>
    <m/>
    <m/>
    <m/>
    <m/>
    <m/>
    <m/>
    <m/>
    <m/>
  </r>
  <r>
    <m/>
    <s v="Dasari Pavan Kumar"/>
    <d v="2026-05-14T00:00:00"/>
    <x v="2"/>
    <m/>
    <m/>
    <x v="1"/>
    <d v="2026-05-20T00:00:00"/>
    <s v="R1 Reject"/>
    <m/>
    <m/>
    <x v="1"/>
    <m/>
    <m/>
    <m/>
    <m/>
    <m/>
    <m/>
    <m/>
    <m/>
  </r>
  <r>
    <m/>
    <s v="Sindhuja Thota"/>
    <d v="2026-05-14T00:00:00"/>
    <x v="2"/>
    <m/>
    <m/>
    <x v="0"/>
    <d v="2026-05-18T00:00:00"/>
    <s v="R1 Select"/>
    <d v="2026-05-20T00:00:00"/>
    <s v="R2 Reject"/>
    <x v="0"/>
    <m/>
    <m/>
    <m/>
    <m/>
    <m/>
    <m/>
    <m/>
    <m/>
  </r>
  <r>
    <m/>
    <s v="Lakshmi Narayana"/>
    <d v="2026-05-14T00:00:00"/>
    <x v="2"/>
    <m/>
    <m/>
    <x v="2"/>
    <m/>
    <m/>
    <m/>
    <m/>
    <x v="2"/>
    <m/>
    <m/>
    <m/>
    <m/>
    <m/>
    <m/>
    <m/>
    <m/>
  </r>
  <r>
    <m/>
    <s v="Madhireddy Harshitha"/>
    <d v="2026-05-14T00:00:00"/>
    <x v="2"/>
    <m/>
    <m/>
    <x v="2"/>
    <m/>
    <m/>
    <m/>
    <m/>
    <x v="2"/>
    <m/>
    <m/>
    <m/>
    <m/>
    <m/>
    <m/>
    <m/>
    <m/>
  </r>
  <r>
    <m/>
    <s v="Myla Ashok"/>
    <d v="2026-05-14T00:00:00"/>
    <x v="1"/>
    <m/>
    <m/>
    <x v="2"/>
    <m/>
    <m/>
    <m/>
    <m/>
    <x v="2"/>
    <m/>
    <m/>
    <m/>
    <m/>
    <m/>
    <m/>
    <m/>
    <m/>
  </r>
  <r>
    <m/>
    <s v="Pavan K V"/>
    <d v="2026-05-14T00:00:00"/>
    <x v="0"/>
    <m/>
    <m/>
    <x v="2"/>
    <m/>
    <m/>
    <m/>
    <m/>
    <x v="2"/>
    <m/>
    <m/>
    <m/>
    <m/>
    <m/>
    <m/>
    <m/>
    <m/>
  </r>
  <r>
    <m/>
    <s v="Kuppili Akhilsai"/>
    <d v="2026-05-14T00:00:00"/>
    <x v="1"/>
    <m/>
    <m/>
    <x v="2"/>
    <m/>
    <m/>
    <m/>
    <m/>
    <x v="2"/>
    <m/>
    <m/>
    <m/>
    <m/>
    <m/>
    <m/>
    <m/>
    <m/>
  </r>
  <r>
    <m/>
    <s v="Kanchibhotla Rama Sai Sri Ganesh"/>
    <d v="2026-05-14T00:00:00"/>
    <x v="1"/>
    <m/>
    <m/>
    <x v="2"/>
    <m/>
    <m/>
    <m/>
    <m/>
    <x v="2"/>
    <m/>
    <m/>
    <m/>
    <m/>
    <m/>
    <m/>
    <m/>
    <m/>
  </r>
  <r>
    <m/>
    <s v="Dinesh Kumar Mohapatra"/>
    <d v="2026-05-14T00:00:00"/>
    <x v="2"/>
    <m/>
    <m/>
    <x v="1"/>
    <d v="2026-05-19T00:00:00"/>
    <s v="R1 Reject"/>
    <m/>
    <m/>
    <x v="1"/>
    <m/>
    <m/>
    <m/>
    <m/>
    <m/>
    <m/>
    <m/>
    <m/>
  </r>
  <r>
    <m/>
    <s v="A M Siddhartha Shandilya"/>
    <d v="2026-05-14T00:00:00"/>
    <x v="2"/>
    <s v="Senior Associate"/>
    <s v="20 days"/>
    <x v="3"/>
    <d v="2026-05-19T00:00:00"/>
    <s v="R1 Select"/>
    <d v="2026-05-22T00:00:00"/>
    <s v="R2 Select"/>
    <x v="10"/>
    <m/>
    <s v="Mukesh Gopinadhan; Sudha Amineni"/>
    <d v="2026-06-17T00:00:00"/>
    <m/>
    <m/>
    <m/>
    <m/>
    <m/>
  </r>
  <r>
    <m/>
    <s v="Aligeti Nikhila"/>
    <d v="2026-05-14T00:00:00"/>
    <x v="2"/>
    <m/>
    <m/>
    <x v="2"/>
    <m/>
    <m/>
    <m/>
    <m/>
    <x v="2"/>
    <m/>
    <m/>
    <m/>
    <m/>
    <m/>
    <m/>
    <m/>
    <m/>
  </r>
  <r>
    <m/>
    <s v="Mandula Sharath"/>
    <d v="2026-05-14T00:00:00"/>
    <x v="2"/>
    <m/>
    <m/>
    <x v="2"/>
    <m/>
    <m/>
    <m/>
    <m/>
    <x v="2"/>
    <m/>
    <m/>
    <m/>
    <m/>
    <m/>
    <m/>
    <m/>
    <m/>
  </r>
  <r>
    <m/>
    <s v="Vamsi Singu"/>
    <d v="2026-05-14T00:00:00"/>
    <x v="0"/>
    <m/>
    <m/>
    <x v="2"/>
    <m/>
    <m/>
    <m/>
    <m/>
    <x v="2"/>
    <m/>
    <m/>
    <m/>
    <m/>
    <m/>
    <m/>
    <m/>
    <m/>
  </r>
  <r>
    <m/>
    <s v="Rukmini Ramya"/>
    <d v="2026-05-14T00:00:00"/>
    <x v="1"/>
    <m/>
    <m/>
    <x v="2"/>
    <m/>
    <m/>
    <m/>
    <m/>
    <x v="2"/>
    <m/>
    <m/>
    <m/>
    <m/>
    <m/>
    <m/>
    <m/>
    <m/>
  </r>
  <r>
    <m/>
    <s v="Linga arjuna Vulapu"/>
    <d v="2026-05-14T00:00:00"/>
    <x v="0"/>
    <m/>
    <m/>
    <x v="2"/>
    <m/>
    <m/>
    <m/>
    <m/>
    <x v="2"/>
    <m/>
    <m/>
    <m/>
    <m/>
    <m/>
    <m/>
    <m/>
    <m/>
  </r>
  <r>
    <m/>
    <s v="Jyothsna Priya Adapa"/>
    <d v="2026-05-14T00:00:00"/>
    <x v="0"/>
    <m/>
    <m/>
    <x v="2"/>
    <m/>
    <m/>
    <m/>
    <m/>
    <x v="2"/>
    <m/>
    <m/>
    <m/>
    <m/>
    <m/>
    <m/>
    <m/>
    <m/>
  </r>
  <r>
    <m/>
    <s v="Abijeet Kalekar "/>
    <d v="2026-08-05T00:00:00"/>
    <x v="3"/>
    <m/>
    <m/>
    <x v="2"/>
    <m/>
    <m/>
    <m/>
    <m/>
    <x v="2"/>
    <m/>
    <m/>
    <m/>
    <m/>
    <m/>
    <m/>
    <m/>
    <m/>
  </r>
  <r>
    <m/>
    <s v="Vinay Kumar Peddi"/>
    <d v="2026-08-05T00:00:00"/>
    <x v="0"/>
    <m/>
    <m/>
    <x v="2"/>
    <m/>
    <m/>
    <m/>
    <m/>
    <x v="2"/>
    <m/>
    <m/>
    <m/>
    <m/>
    <m/>
    <m/>
    <m/>
    <m/>
  </r>
  <r>
    <m/>
    <s v="K prudhvi raj"/>
    <d v="2026-08-05T00:00:00"/>
    <x v="0"/>
    <m/>
    <m/>
    <x v="2"/>
    <m/>
    <m/>
    <m/>
    <m/>
    <x v="2"/>
    <m/>
    <m/>
    <m/>
    <m/>
    <m/>
    <m/>
    <m/>
    <m/>
  </r>
  <r>
    <m/>
    <s v="N Venkatesh"/>
    <d v="2026-08-05T00:00:00"/>
    <x v="1"/>
    <m/>
    <m/>
    <x v="1"/>
    <d v="2026-06-05T00:00:00"/>
    <s v="R1 Reject"/>
    <m/>
    <m/>
    <x v="1"/>
    <m/>
    <m/>
    <m/>
    <m/>
    <m/>
    <m/>
    <m/>
    <m/>
  </r>
  <r>
    <m/>
    <s v="Goli ShivaTeja Reddy"/>
    <d v="2026-08-05T00:00:00"/>
    <x v="3"/>
    <m/>
    <m/>
    <x v="2"/>
    <m/>
    <m/>
    <m/>
    <m/>
    <x v="2"/>
    <m/>
    <m/>
    <m/>
    <m/>
    <m/>
    <m/>
    <m/>
    <m/>
  </r>
  <r>
    <m/>
    <s v="Sriteja Chebrolu"/>
    <d v="2026-08-05T00:00:00"/>
    <x v="3"/>
    <m/>
    <m/>
    <x v="2"/>
    <m/>
    <m/>
    <m/>
    <m/>
    <x v="2"/>
    <m/>
    <m/>
    <m/>
    <m/>
    <m/>
    <m/>
    <m/>
    <m/>
  </r>
  <r>
    <m/>
    <s v="Pratyusha Kandikattu"/>
    <d v="2026-08-05T00:00:00"/>
    <x v="3"/>
    <m/>
    <m/>
    <x v="2"/>
    <m/>
    <m/>
    <m/>
    <m/>
    <x v="2"/>
    <m/>
    <m/>
    <m/>
    <m/>
    <m/>
    <m/>
    <m/>
    <m/>
  </r>
  <r>
    <m/>
    <s v="Share Mahendhar"/>
    <d v="2026-08-05T00:00:00"/>
    <x v="3"/>
    <m/>
    <m/>
    <x v="2"/>
    <m/>
    <m/>
    <m/>
    <m/>
    <x v="2"/>
    <m/>
    <m/>
    <m/>
    <m/>
    <m/>
    <m/>
    <m/>
    <m/>
  </r>
  <r>
    <m/>
    <s v="Ramani Avulamanda"/>
    <d v="2026-08-05T00:00:00"/>
    <x v="3"/>
    <s v="Lead Senior Associate"/>
    <s v="30 days"/>
    <x v="0"/>
    <d v="2026-05-21T00:00:00"/>
    <s v="R1 Select"/>
    <d v="2026-06-04T00:00:00"/>
    <s v="R2 Select"/>
    <x v="4"/>
    <m/>
    <m/>
    <m/>
    <m/>
    <m/>
    <m/>
    <m/>
    <m/>
  </r>
  <r>
    <m/>
    <s v="Anjalidevi Dharmavarapu"/>
    <d v="2026-08-05T00:00:00"/>
    <x v="3"/>
    <m/>
    <m/>
    <x v="2"/>
    <m/>
    <m/>
    <m/>
    <m/>
    <x v="2"/>
    <m/>
    <m/>
    <m/>
    <m/>
    <m/>
    <m/>
    <m/>
    <m/>
  </r>
  <r>
    <m/>
    <s v="Tamattam Siva Prasad Reddy"/>
    <d v="2026-08-05T00:00:00"/>
    <x v="3"/>
    <m/>
    <m/>
    <x v="2"/>
    <m/>
    <m/>
    <m/>
    <m/>
    <x v="2"/>
    <m/>
    <m/>
    <m/>
    <m/>
    <m/>
    <m/>
    <m/>
    <m/>
  </r>
  <r>
    <m/>
    <s v="Sreeparna Ghosh"/>
    <d v="2026-08-05T00:00:00"/>
    <x v="3"/>
    <m/>
    <m/>
    <x v="2"/>
    <m/>
    <m/>
    <m/>
    <m/>
    <x v="2"/>
    <m/>
    <m/>
    <m/>
    <m/>
    <m/>
    <m/>
    <m/>
    <m/>
  </r>
  <r>
    <m/>
    <s v="Sai kiran Malladi"/>
    <d v="2026-08-05T00:00:00"/>
    <x v="3"/>
    <m/>
    <m/>
    <x v="2"/>
    <m/>
    <m/>
    <m/>
    <m/>
    <x v="2"/>
    <m/>
    <m/>
    <m/>
    <m/>
    <m/>
    <m/>
    <m/>
    <m/>
  </r>
  <r>
    <m/>
    <s v="Hema Chandra"/>
    <d v="2026-08-05T00:00:00"/>
    <x v="0"/>
    <s v="Lead Senior Associate"/>
    <s v="Immediate"/>
    <x v="3"/>
    <d v="2026-05-18T00:00:00"/>
    <s v="R1 Select"/>
    <d v="2026-05-21T00:00:00"/>
    <s v="R2 Select"/>
    <x v="10"/>
    <m/>
    <s v="Sudha Amineni; Neil Kerr; George Baxter"/>
    <d v="2026-06-15T00:00:00"/>
    <m/>
    <m/>
    <m/>
    <m/>
    <m/>
  </r>
  <r>
    <m/>
    <s v="Elakya Vasudevan"/>
    <d v="2026-08-05T00:00:00"/>
    <x v="3"/>
    <m/>
    <m/>
    <x v="1"/>
    <d v="2026-05-18T00:00:00"/>
    <s v="R1 Reject"/>
    <m/>
    <m/>
    <x v="1"/>
    <m/>
    <m/>
    <m/>
    <m/>
    <m/>
    <m/>
    <m/>
    <m/>
  </r>
  <r>
    <m/>
    <s v="Pratyush Ranjan Tripathi"/>
    <d v="2026-08-05T00:00:00"/>
    <x v="3"/>
    <m/>
    <m/>
    <x v="0"/>
    <d v="2026-05-21T00:00:00"/>
    <s v="R1 Select"/>
    <m/>
    <m/>
    <x v="7"/>
    <m/>
    <m/>
    <m/>
    <m/>
    <m/>
    <m/>
    <m/>
    <m/>
  </r>
  <r>
    <m/>
    <s v="Hemanth Sai Kandukuri"/>
    <d v="2026-08-05T00:00:00"/>
    <x v="3"/>
    <m/>
    <m/>
    <x v="2"/>
    <m/>
    <m/>
    <m/>
    <m/>
    <x v="2"/>
    <m/>
    <m/>
    <m/>
    <m/>
    <m/>
    <m/>
    <m/>
    <m/>
  </r>
  <r>
    <m/>
    <s v="Lakshmi Narayana Challapalli"/>
    <d v="2026-08-05T00:00:00"/>
    <x v="3"/>
    <m/>
    <m/>
    <x v="2"/>
    <m/>
    <m/>
    <m/>
    <m/>
    <x v="2"/>
    <m/>
    <m/>
    <m/>
    <m/>
    <m/>
    <m/>
    <m/>
    <m/>
  </r>
  <r>
    <m/>
    <s v="Bikash Mohapatra"/>
    <d v="2026-08-05T00:00:00"/>
    <x v="3"/>
    <m/>
    <m/>
    <x v="2"/>
    <m/>
    <m/>
    <m/>
    <m/>
    <x v="2"/>
    <m/>
    <m/>
    <m/>
    <m/>
    <m/>
    <m/>
    <m/>
    <m/>
  </r>
  <r>
    <m/>
    <s v="Dara Sudheer Kumar"/>
    <d v="2026-08-05T00:00:00"/>
    <x v="3"/>
    <m/>
    <m/>
    <x v="2"/>
    <m/>
    <m/>
    <m/>
    <m/>
    <x v="2"/>
    <m/>
    <m/>
    <m/>
    <m/>
    <m/>
    <m/>
    <m/>
    <m/>
  </r>
  <r>
    <m/>
    <s v="kiran kumar"/>
    <d v="2026-05-14T00:00:00"/>
    <x v="5"/>
    <m/>
    <m/>
    <x v="2"/>
    <m/>
    <m/>
    <m/>
    <m/>
    <x v="2"/>
    <m/>
    <m/>
    <m/>
    <m/>
    <m/>
    <m/>
    <m/>
    <m/>
  </r>
  <r>
    <m/>
    <s v="VENKATA VENU ARLANKI"/>
    <d v="2026-05-14T00:00:00"/>
    <x v="5"/>
    <m/>
    <m/>
    <x v="2"/>
    <m/>
    <m/>
    <m/>
    <m/>
    <x v="2"/>
    <m/>
    <m/>
    <m/>
    <m/>
    <m/>
    <m/>
    <m/>
    <m/>
  </r>
  <r>
    <m/>
    <s v="Chanukya kallepalli"/>
    <d v="2026-05-14T00:00:00"/>
    <x v="1"/>
    <m/>
    <m/>
    <x v="2"/>
    <m/>
    <m/>
    <m/>
    <m/>
    <x v="2"/>
    <m/>
    <m/>
    <m/>
    <m/>
    <m/>
    <m/>
    <m/>
    <m/>
  </r>
  <r>
    <m/>
    <s v="D Veena"/>
    <d v="2026-05-14T00:00:00"/>
    <x v="1"/>
    <m/>
    <m/>
    <x v="2"/>
    <m/>
    <m/>
    <m/>
    <m/>
    <x v="2"/>
    <m/>
    <m/>
    <m/>
    <m/>
    <m/>
    <m/>
    <m/>
    <m/>
  </r>
  <r>
    <m/>
    <s v="Arindam Samanta"/>
    <d v="2026-05-14T00:00:00"/>
    <x v="1"/>
    <m/>
    <m/>
    <x v="2"/>
    <m/>
    <m/>
    <m/>
    <m/>
    <x v="2"/>
    <m/>
    <m/>
    <m/>
    <m/>
    <m/>
    <m/>
    <m/>
    <m/>
  </r>
  <r>
    <m/>
    <s v="Ashok Kumar Gembali"/>
    <d v="2026-05-14T00:00:00"/>
    <x v="5"/>
    <m/>
    <m/>
    <x v="2"/>
    <m/>
    <m/>
    <m/>
    <m/>
    <x v="2"/>
    <m/>
    <m/>
    <m/>
    <m/>
    <m/>
    <m/>
    <m/>
    <m/>
  </r>
  <r>
    <m/>
    <s v="Jagadish Anala"/>
    <d v="2026-05-14T00:00:00"/>
    <x v="5"/>
    <m/>
    <m/>
    <x v="2"/>
    <m/>
    <m/>
    <m/>
    <m/>
    <x v="2"/>
    <m/>
    <m/>
    <m/>
    <m/>
    <m/>
    <m/>
    <m/>
    <m/>
  </r>
  <r>
    <m/>
    <s v="Sukumar"/>
    <d v="2026-05-14T00:00:00"/>
    <x v="5"/>
    <m/>
    <m/>
    <x v="2"/>
    <m/>
    <m/>
    <m/>
    <m/>
    <x v="2"/>
    <m/>
    <m/>
    <m/>
    <m/>
    <m/>
    <m/>
    <m/>
    <m/>
  </r>
  <r>
    <m/>
    <s v="Venkata Naga Sundar Sai Challa​"/>
    <d v="2026-05-12T00:00:00"/>
    <x v="2"/>
    <s v="Senior Associate"/>
    <s v="Immediate"/>
    <x v="0"/>
    <m/>
    <s v="R1 Select"/>
    <m/>
    <s v="R2 Select"/>
    <x v="5"/>
    <m/>
    <m/>
    <m/>
    <m/>
    <m/>
    <m/>
    <m/>
    <m/>
  </r>
  <r>
    <m/>
    <s v="Afshaan Pasha"/>
    <d v="2026-05-18T00:00:00"/>
    <x v="0"/>
    <m/>
    <m/>
    <x v="0"/>
    <d v="2026-05-20T00:00:00"/>
    <s v="R1 Select"/>
    <m/>
    <m/>
    <x v="7"/>
    <m/>
    <m/>
    <m/>
    <m/>
    <m/>
    <m/>
    <m/>
    <m/>
  </r>
  <r>
    <m/>
    <s v="Kumar Raja Geddam"/>
    <s v="18-05-2026"/>
    <x v="5"/>
    <m/>
    <m/>
    <x v="2"/>
    <m/>
    <m/>
    <m/>
    <m/>
    <x v="2"/>
    <m/>
    <m/>
    <m/>
    <m/>
    <m/>
    <m/>
    <m/>
    <m/>
  </r>
  <r>
    <m/>
    <s v="SANYASINAIDU GUDIVADA"/>
    <s v="18-05-2026"/>
    <x v="5"/>
    <m/>
    <m/>
    <x v="2"/>
    <m/>
    <m/>
    <m/>
    <m/>
    <x v="2"/>
    <m/>
    <m/>
    <m/>
    <m/>
    <m/>
    <m/>
    <m/>
    <m/>
  </r>
  <r>
    <m/>
    <s v="RAMESH VETSA"/>
    <s v="18-05-2026"/>
    <x v="5"/>
    <m/>
    <m/>
    <x v="2"/>
    <m/>
    <m/>
    <m/>
    <m/>
    <x v="2"/>
    <m/>
    <m/>
    <m/>
    <m/>
    <m/>
    <m/>
    <m/>
    <m/>
  </r>
  <r>
    <m/>
    <s v="Chiranjeevi Peddolla"/>
    <s v="18-05-2026"/>
    <x v="5"/>
    <m/>
    <m/>
    <x v="2"/>
    <m/>
    <m/>
    <m/>
    <m/>
    <x v="2"/>
    <m/>
    <m/>
    <m/>
    <m/>
    <m/>
    <m/>
    <m/>
    <m/>
  </r>
  <r>
    <m/>
    <s v="Mohammad Abdul Rasheed"/>
    <s v="18-05-2026"/>
    <x v="5"/>
    <m/>
    <m/>
    <x v="2"/>
    <m/>
    <m/>
    <m/>
    <m/>
    <x v="2"/>
    <m/>
    <m/>
    <m/>
    <m/>
    <m/>
    <m/>
    <m/>
    <m/>
  </r>
  <r>
    <m/>
    <s v="Sekhar Babu Bodipudi"/>
    <s v="15-05-2026"/>
    <x v="5"/>
    <m/>
    <m/>
    <x v="2"/>
    <m/>
    <m/>
    <m/>
    <m/>
    <x v="2"/>
    <m/>
    <m/>
    <m/>
    <m/>
    <m/>
    <m/>
    <m/>
    <m/>
  </r>
  <r>
    <m/>
    <s v="Abhishek kumar Shukla"/>
    <s v="15-05-2026"/>
    <x v="5"/>
    <m/>
    <m/>
    <x v="1"/>
    <d v="2026-05-21T00:00:00"/>
    <s v="R1 Reject"/>
    <m/>
    <m/>
    <x v="1"/>
    <m/>
    <m/>
    <m/>
    <m/>
    <m/>
    <m/>
    <m/>
    <m/>
  </r>
  <r>
    <m/>
    <s v="Srikanth Gajula"/>
    <s v="15-05-2026"/>
    <x v="5"/>
    <m/>
    <m/>
    <x v="0"/>
    <d v="2026-06-05T00:00:00"/>
    <s v="R1 Select"/>
    <m/>
    <m/>
    <x v="7"/>
    <m/>
    <m/>
    <m/>
    <m/>
    <m/>
    <m/>
    <m/>
    <m/>
  </r>
  <r>
    <m/>
    <s v="Chandra Nagaraju Dhupam"/>
    <s v="15-05-2026"/>
    <x v="5"/>
    <m/>
    <m/>
    <x v="2"/>
    <m/>
    <m/>
    <m/>
    <m/>
    <x v="2"/>
    <m/>
    <m/>
    <m/>
    <m/>
    <m/>
    <m/>
    <m/>
    <m/>
  </r>
  <r>
    <m/>
    <s v="Durga Devi Pothabattula"/>
    <d v="2026-05-19T00:00:00"/>
    <x v="2"/>
    <s v="Lead Associate"/>
    <s v="15 days"/>
    <x v="0"/>
    <d v="2026-05-23T00:00:00"/>
    <s v="R1 Select"/>
    <d v="2026-05-23T00:00:00"/>
    <s v="R2 Select"/>
    <x v="4"/>
    <m/>
    <m/>
    <m/>
    <m/>
    <m/>
    <m/>
    <m/>
    <m/>
  </r>
  <r>
    <m/>
    <s v="Yuvasri Chinta"/>
    <d v="2026-05-19T00:00:00"/>
    <x v="2"/>
    <s v="Senior Associate"/>
    <s v="60 days"/>
    <x v="0"/>
    <d v="2026-05-23T00:00:00"/>
    <s v="R1 Select"/>
    <d v="2026-05-23T00:00:00"/>
    <s v="R2 Select"/>
    <x v="5"/>
    <m/>
    <s v="Sudha Amineni; Mukesh Gopinadhan"/>
    <d v="2026-06-17T00:00:00"/>
    <m/>
    <m/>
    <m/>
    <m/>
    <m/>
  </r>
  <r>
    <m/>
    <s v="Nakirekanti Nandan"/>
    <d v="2026-05-19T00:00:00"/>
    <x v="1"/>
    <s v="Senior Associate"/>
    <s v="60 days"/>
    <x v="3"/>
    <d v="2026-05-23T00:00:00"/>
    <s v="R1 Select"/>
    <d v="2026-05-23T00:00:00"/>
    <s v="R2 Select"/>
    <x v="10"/>
    <m/>
    <s v="Mehta Paresh , Baxter George"/>
    <d v="2026-06-18T00:00:00"/>
    <m/>
    <m/>
    <m/>
    <m/>
    <m/>
  </r>
  <r>
    <m/>
    <s v="Pavan Sainath Yerrabolu"/>
    <d v="2026-05-19T00:00:00"/>
    <x v="1"/>
    <s v="Senior Associate"/>
    <s v="15 days"/>
    <x v="0"/>
    <d v="2026-05-23T00:00:00"/>
    <s v="R1 Select"/>
    <d v="2026-05-23T00:00:00"/>
    <s v="R2 Select"/>
    <x v="11"/>
    <m/>
    <m/>
    <m/>
    <m/>
    <m/>
    <m/>
    <m/>
    <m/>
  </r>
  <r>
    <m/>
    <s v="Akshay Yerawar"/>
    <d v="2026-05-19T00:00:00"/>
    <x v="2"/>
    <s v="Senior Associate"/>
    <s v="Immediate"/>
    <x v="0"/>
    <d v="2026-05-23T00:00:00"/>
    <s v="R1 Select"/>
    <d v="2026-05-23T00:00:00"/>
    <s v="R2 Select"/>
    <x v="4"/>
    <m/>
    <m/>
    <m/>
    <m/>
    <m/>
    <m/>
    <m/>
    <m/>
  </r>
  <r>
    <m/>
    <s v="Venkata Sai Pavan Kumar "/>
    <d v="2026-05-19T00:00:00"/>
    <x v="2"/>
    <s v="Lead Associate"/>
    <s v="30 days"/>
    <x v="0"/>
    <d v="2026-05-23T00:00:00"/>
    <s v="R1 Select"/>
    <d v="2026-05-23T00:00:00"/>
    <s v="R2 Select"/>
    <x v="5"/>
    <m/>
    <s v="Amineni Sudha , Gopinadhan Mukesh"/>
    <d v="2026-06-18T00:00:00"/>
    <m/>
    <m/>
    <m/>
    <m/>
    <m/>
  </r>
  <r>
    <m/>
    <s v="Sai Karthik Kollapureddy"/>
    <d v="2026-05-19T00:00:00"/>
    <x v="1"/>
    <s v="Lead Associate"/>
    <s v="20 days"/>
    <x v="3"/>
    <d v="2026-05-23T00:00:00"/>
    <s v="R1 Select"/>
    <d v="2026-05-23T00:00:00"/>
    <s v="R2 Select"/>
    <x v="10"/>
    <m/>
    <s v="Bhaskar Hazarika; Mu Qiao; George Baxter"/>
    <d v="2026-06-11T00:00:00"/>
    <m/>
    <m/>
    <m/>
    <m/>
    <m/>
  </r>
  <r>
    <m/>
    <s v="Pranay Raj K"/>
    <d v="2026-05-19T00:00:00"/>
    <x v="1"/>
    <s v="Lead Associate"/>
    <s v="20 days"/>
    <x v="0"/>
    <d v="2026-05-23T00:00:00"/>
    <s v="R1 Select"/>
    <d v="2026-05-23T00:00:00"/>
    <s v="R2 Select"/>
    <x v="5"/>
    <m/>
    <m/>
    <m/>
    <m/>
    <m/>
    <m/>
    <m/>
    <m/>
  </r>
  <r>
    <m/>
    <s v="Sunil Kumar Bandi "/>
    <d v="2026-05-19T00:00:00"/>
    <x v="1"/>
    <s v="Lead Associate"/>
    <s v="30 days"/>
    <x v="3"/>
    <d v="2026-05-23T00:00:00"/>
    <s v="R1 Select"/>
    <d v="2026-05-23T00:00:00"/>
    <s v="R2 Select"/>
    <x v="10"/>
    <m/>
    <s v="Amineni Sudha, Mehta Paresh, Baxter George"/>
    <d v="2026-06-16T00:00:00"/>
    <m/>
    <m/>
    <m/>
    <m/>
    <m/>
  </r>
  <r>
    <m/>
    <s v="Srikanth Nanaboina"/>
    <d v="2026-05-19T00:00:00"/>
    <x v="1"/>
    <s v="Senior Associate"/>
    <s v="15 days"/>
    <x v="0"/>
    <d v="2026-05-23T00:00:00"/>
    <s v="R1 Select"/>
    <d v="2026-05-23T00:00:00"/>
    <s v="R2 Select"/>
    <x v="4"/>
    <m/>
    <m/>
    <m/>
    <m/>
    <m/>
    <m/>
    <m/>
    <m/>
  </r>
  <r>
    <m/>
    <s v="Satya Sai Chaitanya Kuchibhotla"/>
    <d v="2026-05-19T00:00:00"/>
    <x v="1"/>
    <s v="Lead Associate"/>
    <s v="45 days"/>
    <x v="3"/>
    <d v="2026-05-23T00:00:00"/>
    <s v="R1 Select"/>
    <d v="2026-05-23T00:00:00"/>
    <s v="R2 Select"/>
    <x v="10"/>
    <m/>
    <s v="George Baxter; Bhaskar Hazarika; Sudha Amineni"/>
    <d v="2026-06-16T00:00:00"/>
    <m/>
    <m/>
    <m/>
    <m/>
    <m/>
  </r>
  <r>
    <m/>
    <s v="Sai Kumar Kotha"/>
    <d v="2026-05-19T00:00:00"/>
    <x v="1"/>
    <s v="Lead Associate"/>
    <m/>
    <x v="0"/>
    <d v="2026-05-23T00:00:00"/>
    <s v="R1 Select"/>
    <d v="2026-06-01T00:00:00"/>
    <s v="R2 Reject"/>
    <x v="0"/>
    <m/>
    <m/>
    <m/>
    <m/>
    <m/>
    <m/>
    <m/>
    <m/>
  </r>
  <r>
    <m/>
    <s v="Sai Krishna Dahagam "/>
    <d v="2026-05-19T00:00:00"/>
    <x v="1"/>
    <s v="Lead Associate"/>
    <s v="Immediate"/>
    <x v="0"/>
    <d v="2026-05-23T00:00:00"/>
    <s v="R1 Select"/>
    <d v="2026-05-27T00:00:00"/>
    <s v="R2 Select"/>
    <x v="5"/>
    <m/>
    <m/>
    <m/>
    <m/>
    <m/>
    <m/>
    <m/>
    <m/>
  </r>
  <r>
    <m/>
    <s v="Sumanth Gurramkonda"/>
    <d v="2026-05-19T00:00:00"/>
    <x v="1"/>
    <s v="Lead Associate"/>
    <s v="Immediate"/>
    <x v="0"/>
    <d v="2026-05-23T00:00:00"/>
    <s v="R1 Select"/>
    <d v="2026-06-02T00:00:00"/>
    <s v="R2 Select"/>
    <x v="5"/>
    <m/>
    <m/>
    <m/>
    <m/>
    <m/>
    <m/>
    <m/>
    <m/>
  </r>
  <r>
    <m/>
    <s v="Ettaboina Ganesh"/>
    <d v="2026-05-19T00:00:00"/>
    <x v="1"/>
    <s v="Lead Associate"/>
    <m/>
    <x v="0"/>
    <d v="2026-05-23T00:00:00"/>
    <s v="R1 Select"/>
    <d v="2026-05-29T00:00:00"/>
    <s v="R2 Reject"/>
    <x v="0"/>
    <m/>
    <m/>
    <m/>
    <m/>
    <m/>
    <m/>
    <m/>
    <m/>
  </r>
  <r>
    <m/>
    <s v="SADI DILEEP KUMAR"/>
    <d v="2026-05-19T00:00:00"/>
    <x v="3"/>
    <s v="Lead Associate"/>
    <s v="Immediate"/>
    <x v="0"/>
    <d v="2026-05-23T00:00:00"/>
    <s v="R1 Select"/>
    <d v="2026-05-23T00:00:00"/>
    <s v="R2 Select"/>
    <x v="4"/>
    <m/>
    <m/>
    <m/>
    <m/>
    <m/>
    <m/>
    <m/>
    <m/>
  </r>
  <r>
    <m/>
    <s v="Ravi G"/>
    <d v="2026-06-04T00:00:00"/>
    <x v="1"/>
    <m/>
    <m/>
    <x v="2"/>
    <m/>
    <m/>
    <m/>
    <m/>
    <x v="2"/>
    <m/>
    <m/>
    <m/>
    <m/>
    <m/>
    <m/>
    <m/>
    <m/>
  </r>
  <r>
    <m/>
    <s v="Pavan Kumar"/>
    <d v="2026-06-04T00:00:00"/>
    <x v="1"/>
    <m/>
    <m/>
    <x v="2"/>
    <m/>
    <m/>
    <m/>
    <m/>
    <x v="2"/>
    <m/>
    <m/>
    <m/>
    <m/>
    <m/>
    <m/>
    <m/>
    <m/>
  </r>
  <r>
    <m/>
    <s v="Surendra Varma Kalidindi"/>
    <d v="2026-06-04T00:00:00"/>
    <x v="1"/>
    <m/>
    <m/>
    <x v="2"/>
    <m/>
    <m/>
    <m/>
    <m/>
    <x v="2"/>
    <m/>
    <m/>
    <m/>
    <m/>
    <m/>
    <m/>
    <m/>
    <m/>
  </r>
  <r>
    <m/>
    <s v="Ravi Sankar Korrapati "/>
    <d v="2026-06-04T00:00:00"/>
    <x v="1"/>
    <m/>
    <m/>
    <x v="1"/>
    <d v="2026-06-10T00:00:00"/>
    <s v="R1 Reject"/>
    <m/>
    <m/>
    <x v="1"/>
    <m/>
    <m/>
    <m/>
    <m/>
    <m/>
    <m/>
    <m/>
    <m/>
  </r>
  <r>
    <m/>
    <s v="Uzma Nasreen"/>
    <d v="2026-06-04T00:00:00"/>
    <x v="1"/>
    <m/>
    <m/>
    <x v="2"/>
    <m/>
    <m/>
    <m/>
    <m/>
    <x v="2"/>
    <m/>
    <m/>
    <m/>
    <m/>
    <m/>
    <m/>
    <m/>
    <m/>
  </r>
  <r>
    <m/>
    <s v="Rajlaxmi"/>
    <d v="2026-06-04T00:00:00"/>
    <x v="1"/>
    <m/>
    <m/>
    <x v="2"/>
    <m/>
    <m/>
    <m/>
    <m/>
    <x v="2"/>
    <m/>
    <m/>
    <m/>
    <m/>
    <m/>
    <m/>
    <m/>
    <m/>
  </r>
  <r>
    <m/>
    <s v="Sridevi Potla"/>
    <d v="2026-06-04T00:00:00"/>
    <x v="1"/>
    <m/>
    <m/>
    <x v="2"/>
    <m/>
    <m/>
    <m/>
    <m/>
    <x v="2"/>
    <m/>
    <m/>
    <m/>
    <m/>
    <m/>
    <m/>
    <m/>
    <m/>
  </r>
  <r>
    <m/>
    <s v="Jagan Saragadam"/>
    <d v="2026-06-04T00:00:00"/>
    <x v="1"/>
    <m/>
    <m/>
    <x v="0"/>
    <d v="2026-06-09T00:00:00"/>
    <s v="R1 Select"/>
    <m/>
    <d v="2026-06-17T00:00:00"/>
    <x v="0"/>
    <m/>
    <m/>
    <m/>
    <m/>
    <m/>
    <m/>
    <m/>
    <m/>
  </r>
  <r>
    <m/>
    <s v="Gowthami Kasturi"/>
    <d v="2026-06-04T00:00:00"/>
    <x v="1"/>
    <m/>
    <m/>
    <x v="2"/>
    <m/>
    <m/>
    <m/>
    <m/>
    <x v="2"/>
    <m/>
    <m/>
    <m/>
    <m/>
    <m/>
    <m/>
    <m/>
    <m/>
  </r>
  <r>
    <m/>
    <s v="Lakshmi Deepika"/>
    <d v="2026-06-04T00:00:00"/>
    <x v="1"/>
    <m/>
    <m/>
    <x v="1"/>
    <d v="2026-06-09T00:00:00"/>
    <s v="R1 Reject"/>
    <m/>
    <m/>
    <x v="1"/>
    <m/>
    <m/>
    <m/>
    <m/>
    <m/>
    <m/>
    <m/>
    <m/>
  </r>
  <r>
    <m/>
    <s v="Nageswara Rao Gurram"/>
    <d v="2026-06-04T00:00:00"/>
    <x v="4"/>
    <m/>
    <m/>
    <x v="1"/>
    <d v="2026-06-09T00:00:00"/>
    <s v="R1 Reject"/>
    <m/>
    <m/>
    <x v="1"/>
    <m/>
    <m/>
    <m/>
    <m/>
    <m/>
    <m/>
    <m/>
    <m/>
  </r>
  <r>
    <m/>
    <s v="Sowmya Borra"/>
    <d v="2026-06-04T00:00:00"/>
    <x v="1"/>
    <m/>
    <m/>
    <x v="2"/>
    <m/>
    <m/>
    <m/>
    <m/>
    <x v="2"/>
    <m/>
    <m/>
    <m/>
    <m/>
    <m/>
    <m/>
    <m/>
    <m/>
  </r>
  <r>
    <m/>
    <s v="Jayam Charan Kumar"/>
    <d v="2026-06-04T00:00:00"/>
    <x v="1"/>
    <m/>
    <m/>
    <x v="1"/>
    <d v="2026-06-09T00:00:00"/>
    <s v="R1 Reject"/>
    <m/>
    <m/>
    <x v="1"/>
    <m/>
    <m/>
    <m/>
    <m/>
    <m/>
    <m/>
    <m/>
    <m/>
  </r>
  <r>
    <m/>
    <s v="Konduru Rakesh"/>
    <d v="2026-06-04T00:00:00"/>
    <x v="1"/>
    <m/>
    <m/>
    <x v="2"/>
    <m/>
    <m/>
    <m/>
    <m/>
    <x v="2"/>
    <m/>
    <m/>
    <m/>
    <m/>
    <m/>
    <m/>
    <m/>
    <m/>
  </r>
  <r>
    <m/>
    <s v="Madhumita Banerjee"/>
    <d v="2026-06-04T00:00:00"/>
    <x v="4"/>
    <m/>
    <m/>
    <x v="0"/>
    <d v="2026-06-15T00:00:00"/>
    <m/>
    <m/>
    <m/>
    <x v="12"/>
    <m/>
    <m/>
    <m/>
    <m/>
    <m/>
    <m/>
    <m/>
    <m/>
  </r>
  <r>
    <m/>
    <s v="Viswanathan S"/>
    <d v="2026-06-04T00:00:00"/>
    <x v="4"/>
    <s v="Deputy Manager"/>
    <s v="60 days"/>
    <x v="0"/>
    <d v="2026-06-08T00:00:00"/>
    <s v="R1 Select"/>
    <d v="2026-06-09T00:00:00"/>
    <s v="R2 Select"/>
    <x v="9"/>
    <m/>
    <s v="Karthik Gupta"/>
    <d v="2026-06-11T00:00:00"/>
    <m/>
    <m/>
    <m/>
    <m/>
    <m/>
  </r>
  <r>
    <m/>
    <s v="Deepika Srivastava"/>
    <d v="2026-06-04T00:00:00"/>
    <x v="4"/>
    <m/>
    <m/>
    <x v="2"/>
    <m/>
    <m/>
    <m/>
    <m/>
    <x v="2"/>
    <m/>
    <m/>
    <m/>
    <m/>
    <m/>
    <m/>
    <m/>
    <m/>
  </r>
  <r>
    <m/>
    <s v="Kumarswamy D"/>
    <d v="2026-06-04T00:00:00"/>
    <x v="4"/>
    <m/>
    <m/>
    <x v="1"/>
    <d v="2026-06-05T00:00:00"/>
    <s v="R1 Reject"/>
    <m/>
    <m/>
    <x v="1"/>
    <m/>
    <m/>
    <m/>
    <m/>
    <m/>
    <m/>
    <m/>
    <m/>
  </r>
  <r>
    <m/>
    <s v="Venkat Kalyan"/>
    <d v="2026-06-06T00:00:00"/>
    <x v="1"/>
    <m/>
    <m/>
    <x v="2"/>
    <m/>
    <m/>
    <m/>
    <m/>
    <x v="2"/>
    <m/>
    <m/>
    <m/>
    <m/>
    <m/>
    <m/>
    <m/>
    <m/>
  </r>
  <r>
    <m/>
    <s v="Pranaya S"/>
    <d v="2026-06-06T00:00:00"/>
    <x v="2"/>
    <m/>
    <m/>
    <x v="2"/>
    <m/>
    <m/>
    <m/>
    <m/>
    <x v="2"/>
    <m/>
    <m/>
    <m/>
    <m/>
    <m/>
    <m/>
    <m/>
    <m/>
  </r>
  <r>
    <m/>
    <s v="Sudha Rani"/>
    <d v="2026-06-06T00:00:00"/>
    <x v="1"/>
    <m/>
    <m/>
    <x v="0"/>
    <d v="2026-06-08T00:00:00"/>
    <s v="R1 Select"/>
    <d v="2026-06-11T00:00:00"/>
    <m/>
    <x v="0"/>
    <m/>
    <m/>
    <m/>
    <m/>
    <m/>
    <m/>
    <m/>
    <m/>
  </r>
  <r>
    <m/>
    <s v="Rayala Venkatesh Balija"/>
    <d v="2026-06-06T00:00:00"/>
    <x v="2"/>
    <m/>
    <m/>
    <x v="1"/>
    <d v="2026-06-08T00:00:00"/>
    <s v="R1 Reject"/>
    <m/>
    <m/>
    <x v="1"/>
    <m/>
    <m/>
    <m/>
    <m/>
    <m/>
    <m/>
    <m/>
    <m/>
  </r>
  <r>
    <m/>
    <s v="Sai Siddartha Kovalluri"/>
    <d v="2026-06-06T00:00:00"/>
    <x v="1"/>
    <m/>
    <m/>
    <x v="0"/>
    <d v="2026-06-15T00:00:00"/>
    <m/>
    <m/>
    <m/>
    <x v="7"/>
    <m/>
    <m/>
    <m/>
    <m/>
    <m/>
    <m/>
    <m/>
    <m/>
  </r>
  <r>
    <m/>
    <s v="Siva Krishna Madasu"/>
    <d v="2026-06-06T00:00:00"/>
    <x v="1"/>
    <m/>
    <m/>
    <x v="2"/>
    <m/>
    <m/>
    <m/>
    <m/>
    <x v="2"/>
    <m/>
    <m/>
    <m/>
    <m/>
    <m/>
    <m/>
    <m/>
    <m/>
  </r>
  <r>
    <m/>
    <s v="Swetha Rani Narla"/>
    <d v="2026-06-06T00:00:00"/>
    <x v="1"/>
    <m/>
    <m/>
    <x v="1"/>
    <d v="2026-06-10T00:00:00"/>
    <s v="R1 Reject"/>
    <m/>
    <m/>
    <x v="1"/>
    <m/>
    <m/>
    <m/>
    <m/>
    <m/>
    <m/>
    <m/>
    <m/>
  </r>
  <r>
    <m/>
    <s v="Karthikeya Akhil Anipeddi"/>
    <d v="2026-06-06T00:00:00"/>
    <x v="2"/>
    <m/>
    <m/>
    <x v="2"/>
    <m/>
    <m/>
    <m/>
    <m/>
    <x v="2"/>
    <m/>
    <m/>
    <m/>
    <m/>
    <m/>
    <m/>
    <m/>
    <m/>
  </r>
  <r>
    <m/>
    <s v="Sandeep Teegala"/>
    <d v="2026-06-06T00:00:00"/>
    <x v="2"/>
    <m/>
    <m/>
    <x v="0"/>
    <d v="2026-06-09T00:00:00"/>
    <s v="R1 Select"/>
    <m/>
    <m/>
    <x v="7"/>
    <m/>
    <m/>
    <m/>
    <m/>
    <m/>
    <m/>
    <m/>
    <m/>
  </r>
  <r>
    <m/>
    <s v="Teja Chamada"/>
    <d v="2026-06-08T00:00:00"/>
    <x v="2"/>
    <m/>
    <m/>
    <x v="1"/>
    <d v="2026-06-12T00:00:00"/>
    <s v="R1 Reject"/>
    <m/>
    <m/>
    <x v="1"/>
    <m/>
    <m/>
    <m/>
    <m/>
    <m/>
    <m/>
    <m/>
    <m/>
  </r>
  <r>
    <m/>
    <s v="Srinivasa Rao Nakka"/>
    <d v="2026-06-09T00:00:00"/>
    <x v="4"/>
    <m/>
    <m/>
    <x v="2"/>
    <m/>
    <s v="R1 Select"/>
    <d v="2026-06-12T00:00:00"/>
    <s v="R2 Reject"/>
    <x v="0"/>
    <m/>
    <m/>
    <m/>
    <m/>
    <m/>
    <m/>
    <m/>
    <m/>
  </r>
  <r>
    <m/>
    <s v="Varsha Bambal"/>
    <d v="2026-06-09T00:00:00"/>
    <x v="4"/>
    <m/>
    <m/>
    <x v="1"/>
    <d v="2026-06-10T00:00:00"/>
    <s v="R1 Reject"/>
    <m/>
    <m/>
    <x v="1"/>
    <m/>
    <m/>
    <m/>
    <m/>
    <m/>
    <m/>
    <m/>
    <m/>
  </r>
  <r>
    <m/>
    <s v="Dude Mounika"/>
    <d v="2026-06-09T00:00:00"/>
    <x v="2"/>
    <m/>
    <m/>
    <x v="1"/>
    <d v="2026-06-10T00:00:00"/>
    <s v="R1 Reject"/>
    <m/>
    <m/>
    <x v="1"/>
    <m/>
    <m/>
    <m/>
    <m/>
    <m/>
    <m/>
    <m/>
    <m/>
  </r>
  <r>
    <m/>
    <s v="Hemanth R"/>
    <d v="2026-06-09T00:00:00"/>
    <x v="2"/>
    <m/>
    <m/>
    <x v="1"/>
    <d v="2026-06-10T00:00:00"/>
    <s v="R1 Reject"/>
    <m/>
    <m/>
    <x v="1"/>
    <m/>
    <m/>
    <m/>
    <m/>
    <m/>
    <m/>
    <m/>
    <m/>
  </r>
  <r>
    <m/>
    <s v="Akula Ravali"/>
    <d v="2026-06-09T00:00:00"/>
    <x v="2"/>
    <m/>
    <m/>
    <x v="1"/>
    <d v="2026-06-10T00:00:00"/>
    <s v="R1 Reject"/>
    <m/>
    <m/>
    <x v="1"/>
    <m/>
    <m/>
    <m/>
    <m/>
    <m/>
    <m/>
    <m/>
    <m/>
  </r>
  <r>
    <m/>
    <s v="Harshini"/>
    <d v="2026-06-09T00:00:00"/>
    <x v="2"/>
    <m/>
    <m/>
    <x v="2"/>
    <m/>
    <m/>
    <m/>
    <m/>
    <x v="2"/>
    <m/>
    <m/>
    <m/>
    <m/>
    <m/>
    <m/>
    <m/>
    <m/>
  </r>
  <r>
    <m/>
    <s v="Anjaneyulu Chelamala"/>
    <d v="2026-06-09T00:00:00"/>
    <x v="1"/>
    <m/>
    <m/>
    <x v="1"/>
    <d v="2026-06-12T00:00:00"/>
    <s v="R1 Select"/>
    <m/>
    <s v="R2 Reject"/>
    <x v="0"/>
    <m/>
    <m/>
    <m/>
    <m/>
    <m/>
    <m/>
    <m/>
    <m/>
  </r>
  <r>
    <m/>
    <s v="Sibasundar Nayak"/>
    <d v="2026-06-09T00:00:00"/>
    <x v="2"/>
    <m/>
    <m/>
    <x v="2"/>
    <m/>
    <m/>
    <m/>
    <m/>
    <x v="2"/>
    <m/>
    <m/>
    <m/>
    <m/>
    <m/>
    <m/>
    <m/>
    <m/>
  </r>
  <r>
    <m/>
    <s v="Shweta Singh"/>
    <d v="2026-06-09T00:00:00"/>
    <x v="2"/>
    <m/>
    <m/>
    <x v="1"/>
    <d v="2026-06-11T00:00:00"/>
    <s v="R1 Reject"/>
    <m/>
    <m/>
    <x v="1"/>
    <m/>
    <m/>
    <m/>
    <m/>
    <m/>
    <m/>
    <m/>
    <m/>
  </r>
  <r>
    <m/>
    <s v="Deepak mourya"/>
    <d v="2026-06-09T00:00:00"/>
    <x v="1"/>
    <m/>
    <m/>
    <x v="0"/>
    <m/>
    <m/>
    <m/>
    <m/>
    <x v="2"/>
    <m/>
    <m/>
    <m/>
    <m/>
    <m/>
    <m/>
    <m/>
    <m/>
  </r>
  <r>
    <m/>
    <s v="Vijitha Gummadapu"/>
    <d v="2026-06-09T00:00:00"/>
    <x v="1"/>
    <m/>
    <m/>
    <x v="1"/>
    <d v="2026-06-11T00:00:00"/>
    <s v="R1 Reject"/>
    <m/>
    <m/>
    <x v="1"/>
    <m/>
    <m/>
    <m/>
    <m/>
    <m/>
    <m/>
    <m/>
    <m/>
  </r>
  <r>
    <m/>
    <s v="Suresh Juvva"/>
    <d v="2026-06-09T00:00:00"/>
    <x v="1"/>
    <m/>
    <m/>
    <x v="1"/>
    <d v="2026-06-10T00:00:00"/>
    <s v="R1 Reject"/>
    <m/>
    <m/>
    <x v="1"/>
    <m/>
    <m/>
    <m/>
    <m/>
    <m/>
    <m/>
    <m/>
    <m/>
  </r>
  <r>
    <m/>
    <s v="Rameshbabu GVS"/>
    <d v="2026-06-11T00:00:00"/>
    <x v="2"/>
    <m/>
    <m/>
    <x v="2"/>
    <m/>
    <m/>
    <m/>
    <m/>
    <x v="2"/>
    <m/>
    <m/>
    <m/>
    <m/>
    <m/>
    <m/>
    <m/>
    <m/>
  </r>
  <r>
    <m/>
    <s v="Himaja Anthikapalli"/>
    <d v="2026-06-09T00:00:00"/>
    <x v="2"/>
    <m/>
    <m/>
    <x v="1"/>
    <d v="2026-06-17T00:00:00"/>
    <s v="R1 Reject"/>
    <m/>
    <m/>
    <x v="1"/>
    <m/>
    <m/>
    <m/>
    <m/>
    <m/>
    <m/>
    <m/>
    <m/>
  </r>
  <r>
    <m/>
    <s v="Reena Roy Malge"/>
    <d v="2026-06-09T00:00:00"/>
    <x v="2"/>
    <m/>
    <m/>
    <x v="2"/>
    <m/>
    <m/>
    <m/>
    <m/>
    <x v="2"/>
    <m/>
    <m/>
    <m/>
    <m/>
    <m/>
    <m/>
    <m/>
    <m/>
  </r>
  <r>
    <m/>
    <s v="Prashant Shekhar"/>
    <d v="2026-06-09T00:00:00"/>
    <x v="4"/>
    <m/>
    <m/>
    <x v="2"/>
    <m/>
    <m/>
    <m/>
    <m/>
    <x v="2"/>
    <m/>
    <m/>
    <m/>
    <m/>
    <m/>
    <m/>
    <m/>
    <m/>
  </r>
  <r>
    <m/>
    <s v="Sesha Sai"/>
    <d v="2026-06-09T00:00:00"/>
    <x v="4"/>
    <m/>
    <m/>
    <x v="2"/>
    <m/>
    <m/>
    <m/>
    <m/>
    <x v="2"/>
    <m/>
    <m/>
    <m/>
    <m/>
    <m/>
    <m/>
    <m/>
    <m/>
  </r>
  <r>
    <m/>
    <s v="Srinivas Malla"/>
    <d v="2026-06-09T00:00:00"/>
    <x v="4"/>
    <m/>
    <m/>
    <x v="2"/>
    <m/>
    <m/>
    <m/>
    <m/>
    <x v="2"/>
    <m/>
    <m/>
    <m/>
    <m/>
    <m/>
    <m/>
    <m/>
    <m/>
  </r>
  <r>
    <m/>
    <s v="Venkatesh Sangaru"/>
    <d v="2026-06-09T00:00:00"/>
    <x v="4"/>
    <m/>
    <m/>
    <x v="2"/>
    <m/>
    <m/>
    <m/>
    <m/>
    <x v="2"/>
    <m/>
    <m/>
    <m/>
    <m/>
    <m/>
    <m/>
    <m/>
    <m/>
  </r>
  <r>
    <m/>
    <s v="Harish Kulkarni "/>
    <d v="2026-06-09T00:00:00"/>
    <x v="4"/>
    <m/>
    <m/>
    <x v="2"/>
    <m/>
    <m/>
    <m/>
    <m/>
    <x v="2"/>
    <m/>
    <m/>
    <m/>
    <m/>
    <m/>
    <m/>
    <m/>
    <m/>
  </r>
  <r>
    <m/>
    <s v="Shashank Raj "/>
    <d v="2026-06-10T00:00:00"/>
    <x v="4"/>
    <m/>
    <m/>
    <x v="2"/>
    <m/>
    <m/>
    <m/>
    <m/>
    <x v="2"/>
    <m/>
    <m/>
    <m/>
    <m/>
    <m/>
    <m/>
    <m/>
    <m/>
  </r>
  <r>
    <m/>
    <s v="Anil Kumar Sharma"/>
    <d v="2026-06-10T00:00:00"/>
    <x v="4"/>
    <m/>
    <m/>
    <x v="2"/>
    <m/>
    <m/>
    <m/>
    <m/>
    <x v="2"/>
    <m/>
    <m/>
    <m/>
    <m/>
    <m/>
    <m/>
    <m/>
    <m/>
  </r>
  <r>
    <m/>
    <s v="Kiran Ventrapragada"/>
    <d v="2026-06-10T00:00:00"/>
    <x v="4"/>
    <m/>
    <m/>
    <x v="2"/>
    <m/>
    <m/>
    <m/>
    <m/>
    <x v="2"/>
    <m/>
    <m/>
    <m/>
    <m/>
    <m/>
    <m/>
    <m/>
    <m/>
  </r>
  <r>
    <m/>
    <s v="Syamsunder Reddy Valle "/>
    <d v="2026-06-10T00:00:00"/>
    <x v="4"/>
    <m/>
    <m/>
    <x v="2"/>
    <m/>
    <m/>
    <m/>
    <m/>
    <x v="2"/>
    <m/>
    <m/>
    <m/>
    <m/>
    <m/>
    <m/>
    <m/>
    <m/>
  </r>
  <r>
    <m/>
    <s v="Anil "/>
    <d v="2026-06-10T00:00:00"/>
    <x v="4"/>
    <m/>
    <m/>
    <x v="2"/>
    <m/>
    <m/>
    <m/>
    <m/>
    <x v="2"/>
    <m/>
    <m/>
    <m/>
    <m/>
    <m/>
    <m/>
    <m/>
    <m/>
  </r>
  <r>
    <m/>
    <s v="Ranadheer Rampeli"/>
    <d v="2026-06-10T00:00:00"/>
    <x v="2"/>
    <m/>
    <m/>
    <x v="0"/>
    <d v="2026-06-11T00:00:00"/>
    <m/>
    <m/>
    <m/>
    <x v="2"/>
    <m/>
    <m/>
    <m/>
    <m/>
    <m/>
    <m/>
    <m/>
    <m/>
  </r>
  <r>
    <m/>
    <s v="Vivekanand Pandey"/>
    <d v="2026-06-10T00:00:00"/>
    <x v="1"/>
    <m/>
    <m/>
    <x v="1"/>
    <d v="2026-06-11T00:00:00"/>
    <s v="R1 Reject"/>
    <m/>
    <m/>
    <x v="1"/>
    <m/>
    <m/>
    <m/>
    <m/>
    <m/>
    <m/>
    <m/>
    <m/>
  </r>
  <r>
    <m/>
    <s v="Savitri Y Talikoti"/>
    <d v="2026-06-10T00:00:00"/>
    <x v="2"/>
    <m/>
    <m/>
    <x v="2"/>
    <m/>
    <m/>
    <m/>
    <m/>
    <x v="2"/>
    <m/>
    <m/>
    <m/>
    <m/>
    <m/>
    <m/>
    <m/>
    <m/>
  </r>
  <r>
    <m/>
    <s v="Jyothirmai Bandarupalli"/>
    <d v="2026-06-10T00:00:00"/>
    <x v="2"/>
    <m/>
    <m/>
    <x v="1"/>
    <d v="2026-06-12T00:00:00"/>
    <s v="R1 Reject"/>
    <m/>
    <m/>
    <x v="1"/>
    <m/>
    <m/>
    <m/>
    <m/>
    <m/>
    <m/>
    <m/>
    <m/>
  </r>
  <r>
    <m/>
    <s v="Chanchal Sagar"/>
    <d v="2026-06-10T00:00:00"/>
    <x v="2"/>
    <m/>
    <m/>
    <x v="2"/>
    <m/>
    <m/>
    <m/>
    <m/>
    <x v="2"/>
    <m/>
    <m/>
    <m/>
    <m/>
    <m/>
    <m/>
    <m/>
    <m/>
  </r>
  <r>
    <m/>
    <s v="srikanth sakkirga"/>
    <d v="2026-06-10T00:00:00"/>
    <x v="2"/>
    <m/>
    <m/>
    <x v="2"/>
    <m/>
    <m/>
    <m/>
    <m/>
    <x v="2"/>
    <m/>
    <m/>
    <m/>
    <m/>
    <m/>
    <m/>
    <m/>
    <m/>
  </r>
  <r>
    <m/>
    <s v="Naveen Prasad Chary"/>
    <d v="2026-06-10T00:00:00"/>
    <x v="1"/>
    <m/>
    <m/>
    <x v="2"/>
    <m/>
    <m/>
    <m/>
    <m/>
    <x v="2"/>
    <m/>
    <m/>
    <m/>
    <m/>
    <m/>
    <m/>
    <m/>
    <m/>
  </r>
  <r>
    <m/>
    <s v="Sushmita Kura"/>
    <d v="2026-06-10T00:00:00"/>
    <x v="2"/>
    <m/>
    <m/>
    <x v="2"/>
    <d v="2026-06-15T00:00:00"/>
    <s v="R1 Reject"/>
    <m/>
    <m/>
    <x v="1"/>
    <m/>
    <m/>
    <m/>
    <m/>
    <m/>
    <m/>
    <m/>
    <m/>
  </r>
  <r>
    <m/>
    <s v="Irrinki Kiran Prathyusha"/>
    <d v="2026-06-10T00:00:00"/>
    <x v="2"/>
    <m/>
    <m/>
    <x v="2"/>
    <m/>
    <m/>
    <m/>
    <m/>
    <x v="2"/>
    <m/>
    <m/>
    <m/>
    <m/>
    <m/>
    <m/>
    <m/>
    <m/>
  </r>
  <r>
    <m/>
    <s v="Supriya Sagili"/>
    <d v="2026-06-10T00:00:00"/>
    <x v="2"/>
    <m/>
    <m/>
    <x v="2"/>
    <m/>
    <m/>
    <m/>
    <m/>
    <x v="2"/>
    <m/>
    <m/>
    <m/>
    <m/>
    <m/>
    <m/>
    <m/>
    <m/>
  </r>
  <r>
    <m/>
    <s v="S L B Sukanya Alluri"/>
    <d v="2026-06-11T00:00:00"/>
    <x v="1"/>
    <m/>
    <m/>
    <x v="0"/>
    <m/>
    <m/>
    <m/>
    <m/>
    <x v="2"/>
    <m/>
    <m/>
    <m/>
    <m/>
    <m/>
    <m/>
    <m/>
    <m/>
  </r>
  <r>
    <m/>
    <s v="Sravya Daram"/>
    <d v="2026-06-11T00:00:00"/>
    <x v="2"/>
    <m/>
    <m/>
    <x v="0"/>
    <d v="2026-06-12T00:00:00"/>
    <s v="R1 Select"/>
    <d v="2026-06-19T00:00:00"/>
    <m/>
    <x v="8"/>
    <m/>
    <m/>
    <m/>
    <m/>
    <m/>
    <m/>
    <m/>
    <m/>
  </r>
  <r>
    <m/>
    <s v="Saikumar Kasam"/>
    <d v="2026-06-11T00:00:00"/>
    <x v="1"/>
    <m/>
    <m/>
    <x v="1"/>
    <d v="2026-06-12T00:00:00"/>
    <s v="R1 Reject"/>
    <m/>
    <m/>
    <x v="1"/>
    <m/>
    <m/>
    <m/>
    <m/>
    <m/>
    <m/>
    <m/>
    <m/>
  </r>
  <r>
    <m/>
    <s v="Manish Pandey"/>
    <d v="2026-06-11T00:00:00"/>
    <x v="1"/>
    <m/>
    <m/>
    <x v="0"/>
    <m/>
    <m/>
    <m/>
    <m/>
    <x v="2"/>
    <m/>
    <m/>
    <m/>
    <m/>
    <m/>
    <m/>
    <m/>
    <m/>
  </r>
  <r>
    <m/>
    <s v="jampa Shankar Siva kumar"/>
    <d v="2026-06-11T00:00:00"/>
    <x v="2"/>
    <m/>
    <m/>
    <x v="2"/>
    <m/>
    <m/>
    <m/>
    <m/>
    <x v="2"/>
    <m/>
    <m/>
    <m/>
    <m/>
    <m/>
    <m/>
    <m/>
    <m/>
  </r>
  <r>
    <m/>
    <s v="Lakshmi Narayana"/>
    <d v="2026-06-11T00:00:00"/>
    <x v="2"/>
    <m/>
    <m/>
    <x v="2"/>
    <m/>
    <m/>
    <m/>
    <m/>
    <x v="2"/>
    <m/>
    <m/>
    <m/>
    <m/>
    <m/>
    <m/>
    <m/>
    <m/>
  </r>
  <r>
    <m/>
    <s v="Sana Arjuna Suresh"/>
    <d v="2026-06-11T00:00:00"/>
    <x v="2"/>
    <m/>
    <m/>
    <x v="2"/>
    <m/>
    <m/>
    <m/>
    <m/>
    <x v="2"/>
    <m/>
    <m/>
    <m/>
    <m/>
    <m/>
    <m/>
    <m/>
    <m/>
  </r>
  <r>
    <m/>
    <s v="Manisha Kumari"/>
    <d v="2026-06-11T00:00:00"/>
    <x v="2"/>
    <m/>
    <m/>
    <x v="2"/>
    <m/>
    <m/>
    <m/>
    <m/>
    <x v="2"/>
    <m/>
    <m/>
    <m/>
    <m/>
    <m/>
    <m/>
    <m/>
    <m/>
  </r>
  <r>
    <m/>
    <s v="sindhuja bodicherla"/>
    <d v="2026-06-11T00:00:00"/>
    <x v="2"/>
    <m/>
    <m/>
    <x v="2"/>
    <m/>
    <m/>
    <m/>
    <m/>
    <x v="2"/>
    <m/>
    <m/>
    <m/>
    <m/>
    <m/>
    <m/>
    <m/>
    <m/>
  </r>
  <r>
    <m/>
    <s v="Subba Reddy KV "/>
    <d v="2026-06-12T00:00:00"/>
    <x v="2"/>
    <m/>
    <m/>
    <x v="1"/>
    <d v="2026-06-15T00:00:00"/>
    <s v="R1 Reject"/>
    <m/>
    <m/>
    <x v="1"/>
    <m/>
    <m/>
    <m/>
    <m/>
    <m/>
    <m/>
    <m/>
    <m/>
  </r>
  <r>
    <m/>
    <s v="Aparna Reddy Kondam"/>
    <d v="2026-06-12T00:00:00"/>
    <x v="1"/>
    <m/>
    <m/>
    <x v="1"/>
    <d v="2026-06-17T00:00:00"/>
    <s v="R1 Reject"/>
    <m/>
    <m/>
    <x v="1"/>
    <m/>
    <m/>
    <m/>
    <m/>
    <m/>
    <m/>
    <m/>
    <m/>
  </r>
  <r>
    <m/>
    <s v="Rajinikar P"/>
    <d v="2026-06-12T00:00:00"/>
    <x v="2"/>
    <m/>
    <m/>
    <x v="1"/>
    <d v="2026-06-15T00:00:00"/>
    <s v="R1 Reject"/>
    <m/>
    <m/>
    <x v="1"/>
    <m/>
    <m/>
    <m/>
    <m/>
    <m/>
    <m/>
    <m/>
    <m/>
  </r>
  <r>
    <m/>
    <s v="Surendra Modupalli "/>
    <d v="2026-06-12T00:00:00"/>
    <x v="2"/>
    <m/>
    <m/>
    <x v="2"/>
    <m/>
    <m/>
    <m/>
    <m/>
    <x v="2"/>
    <m/>
    <m/>
    <m/>
    <m/>
    <m/>
    <m/>
    <m/>
    <m/>
  </r>
  <r>
    <m/>
    <s v="Piyush Jalnekar"/>
    <d v="2026-06-13T00:00:00"/>
    <x v="2"/>
    <m/>
    <m/>
    <x v="0"/>
    <d v="2026-06-17T00:00:00"/>
    <m/>
    <m/>
    <m/>
    <x v="7"/>
    <m/>
    <m/>
    <m/>
    <m/>
    <m/>
    <m/>
    <m/>
    <m/>
  </r>
  <r>
    <m/>
    <s v="Abhishek Ranjan"/>
    <d v="2026-06-13T00:00:00"/>
    <x v="1"/>
    <m/>
    <m/>
    <x v="2"/>
    <m/>
    <m/>
    <m/>
    <m/>
    <x v="2"/>
    <m/>
    <m/>
    <m/>
    <m/>
    <m/>
    <m/>
    <m/>
    <m/>
  </r>
  <r>
    <m/>
    <s v="Arelli Prashanthi"/>
    <d v="2026-06-13T00:00:00"/>
    <x v="1"/>
    <m/>
    <m/>
    <x v="2"/>
    <m/>
    <m/>
    <m/>
    <m/>
    <x v="2"/>
    <m/>
    <m/>
    <m/>
    <m/>
    <m/>
    <m/>
    <m/>
    <m/>
  </r>
  <r>
    <m/>
    <s v="Madhusudan Merugu"/>
    <d v="2026-06-13T00:00:00"/>
    <x v="4"/>
    <m/>
    <m/>
    <x v="2"/>
    <m/>
    <m/>
    <m/>
    <m/>
    <x v="2"/>
    <m/>
    <m/>
    <m/>
    <m/>
    <m/>
    <m/>
    <m/>
    <m/>
  </r>
  <r>
    <m/>
    <s v="Shivang Pathak"/>
    <d v="2026-06-13T00:00:00"/>
    <x v="2"/>
    <m/>
    <m/>
    <x v="2"/>
    <m/>
    <m/>
    <m/>
    <m/>
    <x v="2"/>
    <m/>
    <m/>
    <m/>
    <m/>
    <m/>
    <m/>
    <m/>
    <m/>
  </r>
  <r>
    <m/>
    <s v="Vamshidhar Reddy "/>
    <d v="2026-06-13T00:00:00"/>
    <x v="2"/>
    <m/>
    <m/>
    <x v="0"/>
    <d v="2026-06-17T00:00:00"/>
    <s v="R1 Select"/>
    <m/>
    <m/>
    <x v="7"/>
    <m/>
    <m/>
    <m/>
    <m/>
    <m/>
    <m/>
    <m/>
    <m/>
  </r>
  <r>
    <m/>
    <s v="Nishanth Kothapalli"/>
    <d v="2026-06-13T00:00:00"/>
    <x v="4"/>
    <m/>
    <m/>
    <x v="2"/>
    <m/>
    <m/>
    <m/>
    <m/>
    <x v="2"/>
    <m/>
    <m/>
    <m/>
    <m/>
    <m/>
    <m/>
    <m/>
    <m/>
  </r>
  <r>
    <m/>
    <s v="S L B Sukanya Alluri"/>
    <d v="2026-06-12T00:00:00"/>
    <x v="1"/>
    <m/>
    <m/>
    <x v="2"/>
    <m/>
    <m/>
    <m/>
    <m/>
    <x v="2"/>
    <m/>
    <m/>
    <m/>
    <m/>
    <m/>
    <m/>
    <m/>
    <m/>
  </r>
  <r>
    <m/>
    <s v="Manish Pandey"/>
    <d v="2026-06-12T00:00:00"/>
    <x v="1"/>
    <m/>
    <m/>
    <x v="2"/>
    <m/>
    <m/>
    <m/>
    <m/>
    <x v="2"/>
    <m/>
    <m/>
    <m/>
    <m/>
    <m/>
    <m/>
    <m/>
    <m/>
  </r>
  <r>
    <m/>
    <s v="Nunna Sai Lakshman Teja"/>
    <d v="2026-06-15T00:00:00"/>
    <x v="3"/>
    <m/>
    <m/>
    <x v="2"/>
    <m/>
    <m/>
    <m/>
    <m/>
    <x v="2"/>
    <m/>
    <m/>
    <m/>
    <m/>
    <m/>
    <m/>
    <m/>
    <m/>
  </r>
  <r>
    <m/>
    <s v="Swati Pandey"/>
    <d v="2026-06-15T00:00:00"/>
    <x v="3"/>
    <m/>
    <m/>
    <x v="2"/>
    <m/>
    <m/>
    <m/>
    <m/>
    <x v="2"/>
    <m/>
    <m/>
    <m/>
    <m/>
    <m/>
    <m/>
    <m/>
    <m/>
  </r>
  <r>
    <m/>
    <s v="Jhansi Vusirikapalli"/>
    <d v="2026-06-15T00:00:00"/>
    <x v="2"/>
    <m/>
    <m/>
    <x v="2"/>
    <m/>
    <m/>
    <m/>
    <m/>
    <x v="2"/>
    <m/>
    <m/>
    <m/>
    <m/>
    <m/>
    <m/>
    <m/>
    <m/>
  </r>
  <r>
    <m/>
    <s v="Prasanna Yadalapurapu"/>
    <d v="2026-06-15T00:00:00"/>
    <x v="0"/>
    <m/>
    <m/>
    <x v="2"/>
    <m/>
    <m/>
    <m/>
    <m/>
    <x v="2"/>
    <m/>
    <m/>
    <m/>
    <m/>
    <m/>
    <m/>
    <m/>
    <m/>
  </r>
  <r>
    <m/>
    <s v="Kolukuluri Balaji"/>
    <d v="2026-06-15T00:00:00"/>
    <x v="0"/>
    <m/>
    <m/>
    <x v="2"/>
    <m/>
    <m/>
    <m/>
    <m/>
    <x v="2"/>
    <m/>
    <m/>
    <m/>
    <m/>
    <m/>
    <m/>
    <m/>
    <m/>
  </r>
  <r>
    <m/>
    <s v="Pasupuleti Sowjanya"/>
    <d v="2026-06-15T00:00:00"/>
    <x v="3"/>
    <m/>
    <m/>
    <x v="1"/>
    <d v="2026-06-16T00:00:00"/>
    <s v="R1 Reject"/>
    <m/>
    <m/>
    <x v="1"/>
    <m/>
    <m/>
    <m/>
    <m/>
    <m/>
    <m/>
    <m/>
    <m/>
  </r>
  <r>
    <m/>
    <s v="Kuruvella Nikith Sai"/>
    <d v="2026-06-15T00:00:00"/>
    <x v="0"/>
    <m/>
    <m/>
    <x v="2"/>
    <m/>
    <m/>
    <m/>
    <m/>
    <x v="2"/>
    <m/>
    <m/>
    <m/>
    <m/>
    <m/>
    <m/>
    <m/>
    <m/>
  </r>
  <r>
    <m/>
    <s v="Ganesh kokkargadda"/>
    <d v="2026-06-15T00:00:00"/>
    <x v="2"/>
    <m/>
    <m/>
    <x v="2"/>
    <m/>
    <m/>
    <m/>
    <m/>
    <x v="2"/>
    <m/>
    <m/>
    <m/>
    <m/>
    <m/>
    <m/>
    <m/>
    <m/>
  </r>
  <r>
    <m/>
    <s v="Lokesh Kalyan"/>
    <d v="2026-06-15T00:00:00"/>
    <x v="2"/>
    <m/>
    <m/>
    <x v="2"/>
    <m/>
    <m/>
    <m/>
    <m/>
    <x v="2"/>
    <m/>
    <m/>
    <m/>
    <m/>
    <m/>
    <m/>
    <m/>
    <m/>
  </r>
  <r>
    <m/>
    <s v="Sivakrishna Karri"/>
    <d v="2026-06-15T00:00:00"/>
    <x v="0"/>
    <m/>
    <m/>
    <x v="2"/>
    <m/>
    <m/>
    <m/>
    <m/>
    <x v="2"/>
    <m/>
    <m/>
    <m/>
    <m/>
    <m/>
    <m/>
    <m/>
    <m/>
  </r>
  <r>
    <m/>
    <s v="Haneesha Varada"/>
    <d v="2026-06-15T00:00:00"/>
    <x v="3"/>
    <m/>
    <m/>
    <x v="2"/>
    <m/>
    <m/>
    <m/>
    <m/>
    <x v="2"/>
    <m/>
    <m/>
    <m/>
    <m/>
    <m/>
    <m/>
    <m/>
    <m/>
  </r>
  <r>
    <m/>
    <s v="Vikram Bezawada"/>
    <d v="2026-06-15T00:00:00"/>
    <x v="3"/>
    <m/>
    <m/>
    <x v="2"/>
    <m/>
    <m/>
    <m/>
    <m/>
    <x v="2"/>
    <m/>
    <m/>
    <m/>
    <m/>
    <m/>
    <m/>
    <m/>
    <m/>
  </r>
  <r>
    <m/>
    <s v="Vijayalakshmi Siripurapu"/>
    <m/>
    <x v="6"/>
    <s v="AVP"/>
    <s v="Immediate"/>
    <x v="0"/>
    <m/>
    <m/>
    <m/>
    <s v="R2 Select"/>
    <x v="4"/>
    <m/>
    <m/>
    <m/>
    <m/>
    <m/>
    <m/>
    <m/>
    <m/>
  </r>
  <r>
    <m/>
    <s v="Jayaram Prasad Chelluboina"/>
    <m/>
    <x v="5"/>
    <m/>
    <m/>
    <x v="0"/>
    <d v="2026-06-16T00:00:00"/>
    <s v="R1 Reject"/>
    <m/>
    <m/>
    <x v="1"/>
    <m/>
    <m/>
    <m/>
    <m/>
    <m/>
    <m/>
    <m/>
    <m/>
  </r>
  <r>
    <m/>
    <s v="Prashant Kumar Gupta"/>
    <m/>
    <x v="5"/>
    <m/>
    <m/>
    <x v="0"/>
    <d v="2026-06-22T00:00:00"/>
    <m/>
    <m/>
    <m/>
    <x v="12"/>
    <m/>
    <m/>
    <m/>
    <m/>
    <m/>
    <m/>
    <m/>
    <m/>
  </r>
  <r>
    <m/>
    <s v="KumarRaja Geddam"/>
    <m/>
    <x v="5"/>
    <m/>
    <m/>
    <x v="0"/>
    <m/>
    <m/>
    <m/>
    <m/>
    <x v="2"/>
    <m/>
    <m/>
    <m/>
    <m/>
    <m/>
    <m/>
    <m/>
    <m/>
  </r>
  <r>
    <m/>
    <s v="Sudhakar Devari"/>
    <m/>
    <x v="5"/>
    <m/>
    <m/>
    <x v="0"/>
    <m/>
    <m/>
    <m/>
    <m/>
    <x v="2"/>
    <m/>
    <m/>
    <m/>
    <m/>
    <m/>
    <m/>
    <m/>
    <m/>
  </r>
  <r>
    <m/>
    <s v="Anudeep B"/>
    <m/>
    <x v="5"/>
    <m/>
    <m/>
    <x v="0"/>
    <d v="2026-06-17T00:00:00"/>
    <s v="R1 Select"/>
    <d v="2026-06-19T00:00:00"/>
    <m/>
    <x v="8"/>
    <m/>
    <m/>
    <m/>
    <m/>
    <m/>
    <m/>
    <m/>
    <m/>
  </r>
  <r>
    <m/>
    <s v="Shaik Rahamthulla"/>
    <m/>
    <x v="5"/>
    <m/>
    <m/>
    <x v="0"/>
    <d v="2026-06-18T00:00:00"/>
    <m/>
    <m/>
    <m/>
    <x v="12"/>
    <m/>
    <m/>
    <m/>
    <m/>
    <m/>
    <m/>
    <m/>
    <m/>
  </r>
  <r>
    <m/>
    <s v="Atul Srivastava"/>
    <m/>
    <x v="6"/>
    <m/>
    <m/>
    <x v="0"/>
    <d v="2026-06-18T00:00:00"/>
    <m/>
    <m/>
    <m/>
    <x v="12"/>
    <m/>
    <m/>
    <m/>
    <m/>
    <m/>
    <m/>
    <m/>
    <m/>
  </r>
  <r>
    <m/>
    <s v="Pandala Shiva Shanker"/>
    <m/>
    <x v="4"/>
    <m/>
    <m/>
    <x v="0"/>
    <d v="2026-06-19T00:00:00"/>
    <m/>
    <m/>
    <m/>
    <x v="12"/>
    <m/>
    <m/>
    <m/>
    <m/>
    <m/>
    <m/>
    <m/>
    <m/>
  </r>
  <r>
    <m/>
    <s v="Yogesh Verma"/>
    <m/>
    <x v="4"/>
    <m/>
    <m/>
    <x v="0"/>
    <d v="2026-06-18T00:00:00"/>
    <s v="R1 Select"/>
    <m/>
    <m/>
    <x v="7"/>
    <m/>
    <m/>
    <m/>
    <m/>
    <m/>
    <m/>
    <m/>
    <m/>
  </r>
  <r>
    <m/>
    <s v="Vinay Reddy Kambalapally"/>
    <m/>
    <x v="4"/>
    <m/>
    <m/>
    <x v="0"/>
    <d v="2026-06-19T00:00:00"/>
    <m/>
    <m/>
    <m/>
    <x v="12"/>
    <m/>
    <m/>
    <m/>
    <m/>
    <m/>
    <m/>
    <m/>
    <m/>
  </r>
  <r>
    <m/>
    <s v="Srinivas Varanasi"/>
    <m/>
    <x v="2"/>
    <m/>
    <m/>
    <x v="2"/>
    <m/>
    <m/>
    <m/>
    <m/>
    <x v="2"/>
    <m/>
    <m/>
    <m/>
    <m/>
    <m/>
    <m/>
    <m/>
    <m/>
  </r>
  <r>
    <m/>
    <s v="Navya Dittakavi"/>
    <m/>
    <x v="2"/>
    <m/>
    <m/>
    <x v="2"/>
    <m/>
    <m/>
    <m/>
    <m/>
    <x v="2"/>
    <m/>
    <m/>
    <m/>
    <m/>
    <m/>
    <m/>
    <m/>
    <m/>
  </r>
  <r>
    <m/>
    <s v="MVSL Bhavani"/>
    <m/>
    <x v="2"/>
    <m/>
    <m/>
    <x v="0"/>
    <d v="2026-06-18T00:00:00"/>
    <m/>
    <m/>
    <m/>
    <x v="12"/>
    <m/>
    <m/>
    <m/>
    <m/>
    <m/>
    <m/>
    <m/>
    <m/>
  </r>
  <r>
    <m/>
    <s v="Bharath Kumar.T"/>
    <m/>
    <x v="2"/>
    <m/>
    <m/>
    <x v="2"/>
    <m/>
    <m/>
    <m/>
    <m/>
    <x v="2"/>
    <m/>
    <m/>
    <m/>
    <m/>
    <m/>
    <m/>
    <m/>
    <m/>
  </r>
  <r>
    <m/>
    <s v="Om Gupta"/>
    <m/>
    <x v="3"/>
    <m/>
    <m/>
    <x v="1"/>
    <d v="2026-06-18T00:00:00"/>
    <s v="R1 Reject"/>
    <m/>
    <m/>
    <x v="1"/>
    <m/>
    <m/>
    <m/>
    <m/>
    <m/>
    <m/>
    <m/>
    <m/>
  </r>
  <r>
    <m/>
    <s v="Bhavishya Pedditi"/>
    <m/>
    <x v="3"/>
    <m/>
    <m/>
    <x v="2"/>
    <m/>
    <m/>
    <m/>
    <m/>
    <x v="2"/>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A9FFE-F708-4C46-95FE-850AC8EA8677}"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F23" firstHeaderRow="1" firstDataRow="2" firstDataCol="1"/>
  <pivotFields count="20">
    <pivotField compact="0" outline="0" showAll="0"/>
    <pivotField compact="0" outline="0" showAll="0"/>
    <pivotField compact="0" outline="0" showAll="0"/>
    <pivotField axis="axisRow" compact="0" outline="0" showAll="0">
      <items count="9">
        <item x="4"/>
        <item m="1" x="7"/>
        <item x="6"/>
        <item x="3"/>
        <item x="1"/>
        <item x="0"/>
        <item x="2"/>
        <item x="5"/>
        <item t="default"/>
      </items>
    </pivotField>
    <pivotField compact="0" outline="0" showAll="0"/>
    <pivotField compact="0" outline="0" showAll="0"/>
    <pivotField axis="axisCol" dataField="1" compact="0" outline="0" showAll="0">
      <items count="6">
        <item x="0"/>
        <item x="1"/>
        <item x="2"/>
        <item m="1" x="4"/>
        <item x="3"/>
        <item t="default"/>
      </items>
    </pivotField>
    <pivotField compact="0" outline="0" showAll="0"/>
    <pivotField compact="0" outline="0" showAll="0"/>
    <pivotField compact="0" outline="0" showAll="0"/>
    <pivotField compact="0" outline="0" showAll="0"/>
    <pivotField compact="0" outline="0" showAll="0">
      <items count="14">
        <item x="9"/>
        <item x="6"/>
        <item x="5"/>
        <item x="3"/>
        <item x="10"/>
        <item x="11"/>
        <item x="1"/>
        <item x="12"/>
        <item x="2"/>
        <item x="0"/>
        <item x="8"/>
        <item x="4"/>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8">
    <i>
      <x/>
    </i>
    <i>
      <x v="2"/>
    </i>
    <i>
      <x v="3"/>
    </i>
    <i>
      <x v="4"/>
    </i>
    <i>
      <x v="5"/>
    </i>
    <i>
      <x v="6"/>
    </i>
    <i>
      <x v="7"/>
    </i>
    <i t="grand">
      <x/>
    </i>
  </rowItems>
  <colFields count="1">
    <field x="6"/>
  </colFields>
  <colItems count="5">
    <i>
      <x/>
    </i>
    <i>
      <x v="1"/>
    </i>
    <i>
      <x v="2"/>
    </i>
    <i>
      <x v="4"/>
    </i>
    <i t="grand">
      <x/>
    </i>
  </colItems>
  <dataFields count="1">
    <dataField name="Count of Recuriting Stage" fld="6" subtotal="count" baseField="0" baseItem="0"/>
  </dataFields>
  <formats count="9">
    <format dxfId="47">
      <pivotArea type="all" dataOnly="0" outline="0" fieldPosition="0"/>
    </format>
    <format dxfId="46">
      <pivotArea outline="0" collapsedLevelsAreSubtotals="1" fieldPosition="0"/>
    </format>
    <format dxfId="45">
      <pivotArea type="origin" dataOnly="0" labelOnly="1" outline="0" fieldPosition="0"/>
    </format>
    <format dxfId="44">
      <pivotArea field="11" type="button" dataOnly="0" labelOnly="1" outline="0"/>
    </format>
    <format dxfId="43">
      <pivotArea type="topRight" dataOnly="0" labelOnly="1" outline="0" fieldPosition="0"/>
    </format>
    <format dxfId="42">
      <pivotArea field="3" type="button" dataOnly="0" labelOnly="1" outline="0" axis="axisRow" fieldPosition="0"/>
    </format>
    <format dxfId="41">
      <pivotArea dataOnly="0" labelOnly="1" outline="0" fieldPosition="0">
        <references count="1">
          <reference field="3" count="0"/>
        </references>
      </pivotArea>
    </format>
    <format dxfId="40">
      <pivotArea dataOnly="0" labelOnly="1" grandRow="1" outline="0" fieldPosition="0"/>
    </format>
    <format dxfId="3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A18399-A105-48A5-9430-045D55D665E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O11" firstHeaderRow="1" firstDataRow="2" firstDataCol="1"/>
  <pivotFields count="20">
    <pivotField compact="0" outline="0" showAll="0"/>
    <pivotField compact="0" outline="0" showAll="0"/>
    <pivotField compact="0" outline="0" showAll="0"/>
    <pivotField axis="axisRow" compact="0" outline="0" showAll="0">
      <items count="9">
        <item x="4"/>
        <item m="1" x="7"/>
        <item x="6"/>
        <item x="3"/>
        <item x="1"/>
        <item x="0"/>
        <item x="2"/>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14">
        <item x="9"/>
        <item x="6"/>
        <item x="5"/>
        <item x="3"/>
        <item x="10"/>
        <item x="11"/>
        <item x="1"/>
        <item x="12"/>
        <item x="2"/>
        <item x="0"/>
        <item x="8"/>
        <item x="4"/>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8">
    <i>
      <x/>
    </i>
    <i>
      <x v="2"/>
    </i>
    <i>
      <x v="3"/>
    </i>
    <i>
      <x v="4"/>
    </i>
    <i>
      <x v="5"/>
    </i>
    <i>
      <x v="6"/>
    </i>
    <i>
      <x v="7"/>
    </i>
    <i t="grand">
      <x/>
    </i>
  </rowItems>
  <colFields count="1">
    <field x="11"/>
  </colFields>
  <colItems count="14">
    <i>
      <x/>
    </i>
    <i>
      <x v="1"/>
    </i>
    <i>
      <x v="2"/>
    </i>
    <i>
      <x v="3"/>
    </i>
    <i>
      <x v="4"/>
    </i>
    <i>
      <x v="5"/>
    </i>
    <i>
      <x v="6"/>
    </i>
    <i>
      <x v="7"/>
    </i>
    <i>
      <x v="8"/>
    </i>
    <i>
      <x v="9"/>
    </i>
    <i>
      <x v="10"/>
    </i>
    <i>
      <x v="11"/>
    </i>
    <i>
      <x v="12"/>
    </i>
    <i t="grand">
      <x/>
    </i>
  </colItems>
  <dataFields count="1">
    <dataField name="Count of Final Status" fld="11" subtotal="count" baseField="0" baseItem="0"/>
  </dataFields>
  <formats count="10">
    <format dxfId="57">
      <pivotArea type="all" dataOnly="0" outline="0" fieldPosition="0"/>
    </format>
    <format dxfId="56">
      <pivotArea outline="0" collapsedLevelsAreSubtotals="1" fieldPosition="0"/>
    </format>
    <format dxfId="55">
      <pivotArea type="origin" dataOnly="0" labelOnly="1" outline="0" fieldPosition="0"/>
    </format>
    <format dxfId="54">
      <pivotArea field="11" type="button" dataOnly="0" labelOnly="1" outline="0" axis="axisCol" fieldPosition="0"/>
    </format>
    <format dxfId="53">
      <pivotArea type="topRight" dataOnly="0" labelOnly="1" outline="0" fieldPosition="0"/>
    </format>
    <format dxfId="52">
      <pivotArea field="3" type="button" dataOnly="0" labelOnly="1" outline="0" axis="axisRow" fieldPosition="0"/>
    </format>
    <format dxfId="51">
      <pivotArea dataOnly="0" labelOnly="1" outline="0" fieldPosition="0">
        <references count="1">
          <reference field="3" count="0"/>
        </references>
      </pivotArea>
    </format>
    <format dxfId="50">
      <pivotArea dataOnly="0" labelOnly="1" grandRow="1" outline="0" fieldPosition="0"/>
    </format>
    <format dxfId="49">
      <pivotArea dataOnly="0" labelOnly="1" outline="0" fieldPosition="0">
        <references count="1">
          <reference field="11" count="0"/>
        </references>
      </pivotArea>
    </format>
    <format dxfId="4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B2FF55-1612-AD47-AE21-624D5C1AC283}" name="Table1" displayName="Table1" ref="B5:AC178" totalsRowShown="0" headerRowDxfId="38" headerRowBorderDxfId="37" tableBorderDxfId="36">
  <autoFilter ref="B5:AC178" xr:uid="{74B2FF55-1612-AD47-AE21-624D5C1AC283}"/>
  <tableColumns count="28">
    <tableColumn id="29" xr3:uid="{F5C07E38-E0F4-4092-AAC0-9734521FDC5A}" name="ID" dataDxfId="35">
      <calculatedColumnFormula>ROW() - ROW(Table1[[#Headers],[ID]])</calculatedColumnFormula>
    </tableColumn>
    <tableColumn id="5" xr3:uid="{76D267FC-988F-428C-AE91-163729EF3E50}" name="REQ ID" dataDxfId="34"/>
    <tableColumn id="31" xr3:uid="{9AE62EFD-9EC8-420A-ADAF-41E03EF762B3}" name="SF ID" dataDxfId="33"/>
    <tableColumn id="1" xr3:uid="{486D63EC-17E4-0C48-96CA-A099D6356481}" name="ROLE" dataDxfId="32"/>
    <tableColumn id="2" xr3:uid="{B8C80CF7-FF16-624B-A532-E945B654302F}" name="Level" dataDxfId="31"/>
    <tableColumn id="30" xr3:uid="{F905508A-668B-4FF6-AD3D-6DC76154703F}" name="POD" dataDxfId="30"/>
    <tableColumn id="3" xr3:uid="{7BFA2D3A-156A-5342-8745-3FBFFB19869B}" name="# RESOURCES" dataDxfId="29"/>
    <tableColumn id="19" xr3:uid="{4A476863-0F00-4341-BA25-9B8F835652CD}" name="Open" dataDxfId="28">
      <calculatedColumnFormula>Table1[[#This Row],['# RESOURCES]]-Table1[[#This Row],[Profile Shared]]</calculatedColumnFormula>
    </tableColumn>
    <tableColumn id="21" xr3:uid="{DEB9E87D-39E3-4B50-A9B1-F38AA7C10559}" name="Client Confirmed" dataDxfId="27"/>
    <tableColumn id="18" xr3:uid="{C0B4C3FC-B042-4468-A968-55C6ECE8C55A}" name="Profile Shared" dataDxfId="26"/>
    <tableColumn id="20" xr3:uid="{E078CA99-DF0D-3248-8ED4-981BED2D9FC7}" name="Priority" dataDxfId="25"/>
    <tableColumn id="6" xr3:uid="{268FEA33-ED08-5F4C-BF11-84D32359FA91}" name="REQUEST BY" dataDxfId="24"/>
    <tableColumn id="7" xr3:uid="{7DB08A56-1EA0-1249-ACEF-A69492AB6EF1}" name="REQUEST DATE (MM/DD/YYYY)" dataDxfId="23"/>
    <tableColumn id="8" xr3:uid="{F6558C36-A940-3C46-9888-E46EF2FC9181}" name="ROLE START DATE (MM/DD/YYYY)" dataDxfId="22"/>
    <tableColumn id="9" xr3:uid="{E1F948C5-F745-234E-B541-3737BA59B3D0}" name="ROLE END DATE (MM/DD/YYYY)" dataDxfId="21"/>
    <tableColumn id="10" xr3:uid="{E167F163-1BEE-1E43-9A33-4A368D0CD77B}" name="ROLE COMMITMENT (%)" dataDxfId="20"/>
    <tableColumn id="12" xr3:uid="{B4230B5D-547B-0544-A0F0-7992C4790A5C}" name="ROLE LOCATION" dataDxfId="19"/>
    <tableColumn id="14" xr3:uid="{550630C9-B89C-004F-81E6-478AEA2658A5}" name="COMMENTS" dataDxfId="18"/>
    <tableColumn id="15" xr3:uid="{D4D4305C-086C-684C-8BE1-3749950C234E}" name="SIGN OFF" dataDxfId="17"/>
    <tableColumn id="16" xr3:uid="{B3E4E34A-254A-B74F-A37B-56F31F3307DF}" name="APPROVAL DATE (MM/DD/YYYY)" dataDxfId="16"/>
    <tableColumn id="17" xr3:uid="{F61E88C2-AB15-A54F-820C-9BFC85CDD1FE}" name="*VALIDATION STATUS" dataDxfId="15">
      <calculatedColumnFormula>IF(COUNTA($E6:$U6)=16,"✓ Complete",IF(COUNTA( $E6:$U6)=1,"","⚠ Incomplete - Missing Entries"))</calculatedColumnFormula>
    </tableColumn>
    <tableColumn id="22" xr3:uid="{3494BA0A-D6A6-416D-AA24-351EEACBD7A3}" name="DELOITTE OWNER" dataDxfId="14"/>
    <tableColumn id="23" xr3:uid="{088606D7-D8C3-47BE-93FA-F4288B3C15BF}" name="DEPLOYED RESOURCES" dataDxfId="13"/>
    <tableColumn id="24" xr3:uid="{6953DC2F-2DA8-47E4-9AD6-4EC89B582BAA}" name="*DEPLOYMENT STATUS" dataDxfId="12" dataCellStyle="Percent"/>
    <tableColumn id="25" xr3:uid="{ABF3E0A6-3BDB-45EB-8E2B-ACB1D796671E}" name="On Hold?" dataDxfId="11" dataCellStyle="Percent"/>
    <tableColumn id="26" xr3:uid="{22329AD6-DA1C-42F6-9647-BB4578E88A35}" name="Resources On Hold" dataDxfId="10" dataCellStyle="Percent">
      <calculatedColumnFormula>IF(Table1[[#This Row],[On Hold?]]="Y", (Table1[[#This Row],['# RESOURCES]]-Table1[[#This Row],[Profile Shared]]),0)</calculatedColumnFormula>
    </tableColumn>
    <tableColumn id="27" xr3:uid="{40EC5DC8-2C8C-48CA-879D-305D7AD04CE1}" name="Team Member details" dataDxfId="9"/>
    <tableColumn id="28" xr3:uid="{CC99BFB7-5650-49FC-88B8-9D9C5FFB44B5}" name="Deloitte Comment"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A9C1-19CC-4743-BEFF-A3B4BC715532}">
  <sheetPr>
    <tabColor theme="6"/>
  </sheetPr>
  <dimension ref="B3:E24"/>
  <sheetViews>
    <sheetView tabSelected="1" topLeftCell="N6" zoomScale="80" zoomScaleNormal="80" workbookViewId="0">
      <selection activeCell="E6" sqref="E6"/>
    </sheetView>
  </sheetViews>
  <sheetFormatPr defaultColWidth="8.5" defaultRowHeight="16" x14ac:dyDescent="0.4"/>
  <cols>
    <col min="1" max="1" width="8.5" style="1"/>
    <col min="2" max="2" width="28.5" style="1" bestFit="1" customWidth="1"/>
    <col min="3" max="3" width="28.5" style="1" customWidth="1"/>
    <col min="4" max="4" width="112" style="1" bestFit="1" customWidth="1"/>
    <col min="5" max="5" width="32" style="1" bestFit="1" customWidth="1"/>
    <col min="6" max="16384" width="8.5" style="1"/>
  </cols>
  <sheetData>
    <row r="3" spans="2:5" ht="24" thickBot="1" x14ac:dyDescent="0.45">
      <c r="B3" s="227" t="s">
        <v>0</v>
      </c>
      <c r="C3" s="228"/>
      <c r="D3" s="228"/>
      <c r="E3" s="228"/>
    </row>
    <row r="4" spans="2:5" ht="21.5" thickBot="1" x14ac:dyDescent="0.55000000000000004">
      <c r="B4" s="19" t="s">
        <v>1</v>
      </c>
      <c r="C4" s="19" t="s">
        <v>2</v>
      </c>
      <c r="D4" s="20" t="s">
        <v>3</v>
      </c>
      <c r="E4" s="20" t="s">
        <v>4</v>
      </c>
    </row>
    <row r="5" spans="2:5" ht="18.5" x14ac:dyDescent="0.45">
      <c r="B5" s="17" t="s">
        <v>5</v>
      </c>
      <c r="C5" s="17" t="s">
        <v>6</v>
      </c>
      <c r="D5" s="18" t="s">
        <v>7</v>
      </c>
      <c r="E5" s="18" t="s">
        <v>8</v>
      </c>
    </row>
    <row r="6" spans="2:5" ht="18.5" x14ac:dyDescent="0.45">
      <c r="B6" s="16" t="s">
        <v>9</v>
      </c>
      <c r="C6" s="17" t="s">
        <v>6</v>
      </c>
      <c r="D6" s="7" t="s">
        <v>10</v>
      </c>
      <c r="E6" s="18" t="s">
        <v>8</v>
      </c>
    </row>
    <row r="7" spans="2:5" ht="18.5" x14ac:dyDescent="0.45">
      <c r="B7" s="16" t="s">
        <v>11</v>
      </c>
      <c r="C7" s="17" t="s">
        <v>6</v>
      </c>
      <c r="D7" s="7" t="s">
        <v>12</v>
      </c>
      <c r="E7" s="18" t="s">
        <v>13</v>
      </c>
    </row>
    <row r="8" spans="2:5" ht="18.5" x14ac:dyDescent="0.45">
      <c r="B8" s="16" t="s">
        <v>14</v>
      </c>
      <c r="C8" s="17" t="s">
        <v>6</v>
      </c>
      <c r="D8" s="7" t="s">
        <v>15</v>
      </c>
      <c r="E8" s="18" t="s">
        <v>8</v>
      </c>
    </row>
    <row r="9" spans="2:5" ht="18.5" x14ac:dyDescent="0.45">
      <c r="B9" s="16" t="s">
        <v>16</v>
      </c>
      <c r="C9" s="17" t="s">
        <v>6</v>
      </c>
      <c r="D9" s="7" t="s">
        <v>17</v>
      </c>
      <c r="E9" s="18" t="s">
        <v>18</v>
      </c>
    </row>
    <row r="10" spans="2:5" ht="18.5" x14ac:dyDescent="0.45">
      <c r="B10" s="16" t="s">
        <v>19</v>
      </c>
      <c r="C10" s="17" t="s">
        <v>6</v>
      </c>
      <c r="D10" s="7" t="s">
        <v>20</v>
      </c>
      <c r="E10" s="18" t="s">
        <v>8</v>
      </c>
    </row>
    <row r="11" spans="2:5" ht="18.5" x14ac:dyDescent="0.45">
      <c r="B11" s="16" t="s">
        <v>21</v>
      </c>
      <c r="C11" s="17" t="s">
        <v>6</v>
      </c>
      <c r="D11" s="7" t="s">
        <v>22</v>
      </c>
      <c r="E11" s="18" t="s">
        <v>23</v>
      </c>
    </row>
    <row r="12" spans="2:5" ht="18.5" x14ac:dyDescent="0.45">
      <c r="B12" s="16" t="s">
        <v>24</v>
      </c>
      <c r="C12" s="17" t="s">
        <v>6</v>
      </c>
      <c r="D12" s="7" t="s">
        <v>25</v>
      </c>
      <c r="E12" s="18" t="s">
        <v>23</v>
      </c>
    </row>
    <row r="13" spans="2:5" ht="18.5" x14ac:dyDescent="0.45">
      <c r="B13" s="16" t="s">
        <v>26</v>
      </c>
      <c r="C13" s="17" t="s">
        <v>6</v>
      </c>
      <c r="D13" s="7" t="s">
        <v>27</v>
      </c>
      <c r="E13" s="18" t="s">
        <v>23</v>
      </c>
    </row>
    <row r="14" spans="2:5" ht="18.5" x14ac:dyDescent="0.45">
      <c r="B14" s="16" t="s">
        <v>28</v>
      </c>
      <c r="C14" s="17" t="s">
        <v>6</v>
      </c>
      <c r="D14" s="7" t="s">
        <v>29</v>
      </c>
      <c r="E14" s="18" t="s">
        <v>30</v>
      </c>
    </row>
    <row r="15" spans="2:5" ht="18.5" x14ac:dyDescent="0.45">
      <c r="B15" s="16" t="s">
        <v>31</v>
      </c>
      <c r="C15" s="17" t="s">
        <v>6</v>
      </c>
      <c r="D15" s="7" t="s">
        <v>32</v>
      </c>
      <c r="E15" s="18" t="s">
        <v>8</v>
      </c>
    </row>
    <row r="16" spans="2:5" ht="18.5" x14ac:dyDescent="0.45">
      <c r="B16" s="16" t="s">
        <v>33</v>
      </c>
      <c r="C16" s="17" t="s">
        <v>6</v>
      </c>
      <c r="D16" s="7" t="s">
        <v>34</v>
      </c>
      <c r="E16" s="18" t="s">
        <v>18</v>
      </c>
    </row>
    <row r="17" spans="2:5" ht="18.5" x14ac:dyDescent="0.45">
      <c r="B17" s="16" t="s">
        <v>35</v>
      </c>
      <c r="C17" s="17" t="s">
        <v>6</v>
      </c>
      <c r="D17" s="7" t="s">
        <v>36</v>
      </c>
      <c r="E17" s="18" t="s">
        <v>18</v>
      </c>
    </row>
    <row r="18" spans="2:5" ht="18.5" x14ac:dyDescent="0.45">
      <c r="B18" s="16" t="s">
        <v>37</v>
      </c>
      <c r="C18" s="17" t="s">
        <v>6</v>
      </c>
      <c r="D18" s="7" t="s">
        <v>38</v>
      </c>
      <c r="E18" s="18" t="s">
        <v>8</v>
      </c>
    </row>
    <row r="19" spans="2:5" ht="18.5" x14ac:dyDescent="0.45">
      <c r="B19" s="16" t="s">
        <v>39</v>
      </c>
      <c r="C19" s="17" t="s">
        <v>6</v>
      </c>
      <c r="D19" s="7" t="s">
        <v>40</v>
      </c>
      <c r="E19" s="18" t="s">
        <v>23</v>
      </c>
    </row>
    <row r="20" spans="2:5" ht="18.5" x14ac:dyDescent="0.45">
      <c r="B20" s="8" t="s">
        <v>41</v>
      </c>
      <c r="C20" s="8" t="s">
        <v>42</v>
      </c>
      <c r="D20" s="7" t="s">
        <v>43</v>
      </c>
      <c r="E20" s="18" t="s">
        <v>18</v>
      </c>
    </row>
    <row r="21" spans="2:5" ht="18.5" x14ac:dyDescent="0.45">
      <c r="B21" s="8" t="s">
        <v>44</v>
      </c>
      <c r="C21" s="8" t="s">
        <v>42</v>
      </c>
      <c r="D21" s="7" t="s">
        <v>45</v>
      </c>
      <c r="E21" s="18" t="s">
        <v>13</v>
      </c>
    </row>
    <row r="22" spans="2:5" ht="18.5" x14ac:dyDescent="0.45">
      <c r="B22" s="8" t="s">
        <v>46</v>
      </c>
      <c r="C22" s="8" t="s">
        <v>47</v>
      </c>
      <c r="D22" s="7" t="s">
        <v>48</v>
      </c>
      <c r="E22" s="18" t="s">
        <v>30</v>
      </c>
    </row>
    <row r="23" spans="2:5" ht="18.5" x14ac:dyDescent="0.45">
      <c r="B23" s="22" t="s">
        <v>49</v>
      </c>
      <c r="C23" s="22" t="s">
        <v>50</v>
      </c>
      <c r="D23" s="7" t="s">
        <v>51</v>
      </c>
      <c r="E23" s="18" t="s">
        <v>52</v>
      </c>
    </row>
    <row r="24" spans="2:5" ht="18.5" x14ac:dyDescent="0.45">
      <c r="B24" s="22" t="s">
        <v>53</v>
      </c>
      <c r="C24" s="22" t="s">
        <v>50</v>
      </c>
      <c r="D24" s="7" t="s">
        <v>54</v>
      </c>
      <c r="E24" s="18" t="s">
        <v>52</v>
      </c>
    </row>
  </sheetData>
  <autoFilter ref="B4:E24" xr:uid="{F39FA9C1-19CC-4743-BEFF-A3B4BC715532}"/>
  <mergeCells count="1">
    <mergeCell ref="B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65701-23F3-4EC6-9575-2B70B1953AC0}">
  <sheetPr>
    <tabColor theme="5"/>
  </sheetPr>
  <dimension ref="A1:H68"/>
  <sheetViews>
    <sheetView topLeftCell="C1" zoomScale="80" zoomScaleNormal="80" workbookViewId="0">
      <pane ySplit="1" topLeftCell="A2" activePane="bottomLeft" state="frozen"/>
      <selection pane="bottomLeft"/>
    </sheetView>
  </sheetViews>
  <sheetFormatPr defaultColWidth="34.33203125" defaultRowHeight="16" x14ac:dyDescent="0.4"/>
  <cols>
    <col min="1" max="16384" width="34.33203125" style="1"/>
  </cols>
  <sheetData>
    <row r="1" spans="1:8" x14ac:dyDescent="0.4">
      <c r="A1" s="10" t="s">
        <v>55</v>
      </c>
      <c r="B1" s="10" t="s">
        <v>56</v>
      </c>
      <c r="C1" s="10" t="s">
        <v>9</v>
      </c>
      <c r="D1" s="10" t="s">
        <v>57</v>
      </c>
      <c r="E1" s="10" t="s">
        <v>58</v>
      </c>
      <c r="F1" s="10" t="s">
        <v>59</v>
      </c>
      <c r="G1" s="10" t="s">
        <v>60</v>
      </c>
      <c r="H1" s="10" t="s">
        <v>61</v>
      </c>
    </row>
    <row r="2" spans="1:8" ht="117" x14ac:dyDescent="0.4">
      <c r="A2" s="11" t="s">
        <v>62</v>
      </c>
      <c r="B2" s="11" t="s">
        <v>63</v>
      </c>
      <c r="C2" s="11" t="s">
        <v>64</v>
      </c>
      <c r="D2" s="11" t="s">
        <v>65</v>
      </c>
      <c r="E2" s="11" t="s">
        <v>66</v>
      </c>
      <c r="F2" s="11" t="s">
        <v>67</v>
      </c>
      <c r="G2" s="11" t="s">
        <v>68</v>
      </c>
      <c r="H2" s="11" t="str" cm="1">
        <f t="array" ref="H2">_xlfn.SWITCH(TRUE(), A2="Platfrom Engineering", "Yes", A2="Architecture", "Yes", B2="Platform_Admin", "Yes", C2="Principal", "Yes",C2="Manager", "Yes",C2="Senior Manager", "Yes","No")</f>
        <v>No</v>
      </c>
    </row>
    <row r="3" spans="1:8" ht="143" x14ac:dyDescent="0.4">
      <c r="A3" s="11" t="s">
        <v>62</v>
      </c>
      <c r="B3" s="11" t="s">
        <v>69</v>
      </c>
      <c r="C3" s="11" t="s">
        <v>64</v>
      </c>
      <c r="D3" s="11" t="s">
        <v>70</v>
      </c>
      <c r="E3" s="11" t="s">
        <v>71</v>
      </c>
      <c r="F3" s="11" t="s">
        <v>72</v>
      </c>
      <c r="G3" s="11" t="s">
        <v>73</v>
      </c>
      <c r="H3" s="11" t="s">
        <v>74</v>
      </c>
    </row>
    <row r="4" spans="1:8" ht="170" x14ac:dyDescent="0.4">
      <c r="A4" s="11" t="s">
        <v>62</v>
      </c>
      <c r="B4" s="11" t="s">
        <v>75</v>
      </c>
      <c r="C4" s="11" t="s">
        <v>76</v>
      </c>
      <c r="D4" s="11"/>
      <c r="E4" s="64" t="s">
        <v>77</v>
      </c>
      <c r="F4" s="64" t="s">
        <v>77</v>
      </c>
      <c r="G4" s="11"/>
      <c r="H4" s="11"/>
    </row>
    <row r="5" spans="1:8" x14ac:dyDescent="0.4">
      <c r="A5" s="11" t="s">
        <v>62</v>
      </c>
      <c r="B5" s="11"/>
      <c r="C5" s="11"/>
      <c r="D5" s="11"/>
      <c r="E5" s="11"/>
      <c r="F5" s="11"/>
      <c r="G5" s="11"/>
      <c r="H5" s="11"/>
    </row>
    <row r="6" spans="1:8" x14ac:dyDescent="0.4">
      <c r="A6" s="11" t="s">
        <v>62</v>
      </c>
      <c r="B6" s="11"/>
      <c r="C6" s="11"/>
      <c r="D6" s="11"/>
      <c r="E6" s="11"/>
      <c r="F6" s="11"/>
      <c r="G6" s="11"/>
      <c r="H6" s="11"/>
    </row>
    <row r="7" spans="1:8" x14ac:dyDescent="0.4">
      <c r="A7" s="11" t="s">
        <v>62</v>
      </c>
      <c r="B7" s="11"/>
      <c r="C7" s="11"/>
      <c r="D7" s="11"/>
      <c r="E7" s="11"/>
      <c r="F7" s="11"/>
      <c r="G7" s="11"/>
      <c r="H7" s="11"/>
    </row>
    <row r="8" spans="1:8" x14ac:dyDescent="0.4">
      <c r="A8" s="11" t="s">
        <v>62</v>
      </c>
      <c r="B8" s="11"/>
      <c r="C8" s="11"/>
      <c r="D8" s="11"/>
      <c r="E8" s="11"/>
      <c r="F8" s="11"/>
      <c r="G8" s="11"/>
      <c r="H8" s="11"/>
    </row>
    <row r="9" spans="1:8" x14ac:dyDescent="0.4">
      <c r="A9" s="11" t="s">
        <v>62</v>
      </c>
      <c r="B9" s="11"/>
      <c r="C9" s="11"/>
      <c r="D9" s="11"/>
      <c r="E9" s="11"/>
      <c r="F9" s="11"/>
      <c r="G9" s="11"/>
      <c r="H9" s="11"/>
    </row>
    <row r="10" spans="1:8" x14ac:dyDescent="0.4">
      <c r="A10" s="11" t="s">
        <v>62</v>
      </c>
      <c r="B10" s="11"/>
      <c r="C10" s="11"/>
      <c r="D10" s="11"/>
      <c r="E10" s="11"/>
      <c r="F10" s="11"/>
      <c r="G10" s="11"/>
      <c r="H10" s="11"/>
    </row>
    <row r="11" spans="1:8" x14ac:dyDescent="0.4">
      <c r="A11" s="11" t="s">
        <v>62</v>
      </c>
      <c r="B11" s="11"/>
      <c r="C11" s="11"/>
      <c r="D11" s="11"/>
      <c r="E11" s="11"/>
      <c r="F11" s="11"/>
      <c r="G11" s="11"/>
      <c r="H11" s="11"/>
    </row>
    <row r="12" spans="1:8" x14ac:dyDescent="0.4">
      <c r="A12" s="11"/>
      <c r="B12" s="11"/>
      <c r="C12" s="11"/>
      <c r="D12" s="11"/>
      <c r="E12" s="11"/>
      <c r="F12" s="11"/>
      <c r="G12" s="11"/>
      <c r="H12" s="11"/>
    </row>
    <row r="13" spans="1:8" x14ac:dyDescent="0.4">
      <c r="A13" s="11"/>
      <c r="B13" s="11"/>
      <c r="C13" s="11"/>
      <c r="D13" s="11"/>
      <c r="E13" s="11"/>
      <c r="F13" s="11"/>
      <c r="G13" s="11"/>
      <c r="H13" s="11"/>
    </row>
    <row r="14" spans="1:8" x14ac:dyDescent="0.4">
      <c r="A14" s="11"/>
      <c r="B14" s="11"/>
      <c r="C14" s="11"/>
      <c r="D14" s="11"/>
      <c r="E14" s="11"/>
      <c r="F14" s="11"/>
      <c r="G14" s="11"/>
      <c r="H14" s="11"/>
    </row>
    <row r="15" spans="1:8" x14ac:dyDescent="0.4">
      <c r="A15" s="11"/>
      <c r="B15" s="11"/>
      <c r="C15" s="11"/>
      <c r="D15" s="11"/>
      <c r="E15" s="11"/>
      <c r="F15" s="11"/>
      <c r="G15" s="11"/>
      <c r="H15" s="11"/>
    </row>
    <row r="16" spans="1:8" x14ac:dyDescent="0.4">
      <c r="A16" s="11"/>
      <c r="B16" s="11"/>
      <c r="C16" s="11"/>
      <c r="D16" s="11"/>
      <c r="E16" s="11"/>
      <c r="F16" s="11"/>
      <c r="G16" s="11"/>
      <c r="H16" s="11"/>
    </row>
    <row r="17" spans="1:8" x14ac:dyDescent="0.4">
      <c r="A17" s="11"/>
      <c r="B17" s="11"/>
      <c r="C17" s="11"/>
      <c r="D17" s="11"/>
      <c r="E17" s="11"/>
      <c r="F17" s="11"/>
      <c r="G17" s="11"/>
      <c r="H17" s="11"/>
    </row>
    <row r="18" spans="1:8" x14ac:dyDescent="0.4">
      <c r="A18" s="11"/>
      <c r="B18" s="11"/>
      <c r="C18" s="11"/>
      <c r="D18" s="11"/>
      <c r="E18" s="11"/>
      <c r="F18" s="11"/>
      <c r="G18" s="11"/>
      <c r="H18" s="11"/>
    </row>
    <row r="19" spans="1:8" x14ac:dyDescent="0.4">
      <c r="A19" s="11"/>
      <c r="B19" s="11"/>
      <c r="C19" s="11"/>
      <c r="D19" s="11"/>
      <c r="E19" s="11"/>
      <c r="F19" s="11"/>
      <c r="G19" s="11"/>
      <c r="H19" s="11"/>
    </row>
    <row r="20" spans="1:8" x14ac:dyDescent="0.4">
      <c r="A20" s="11"/>
      <c r="B20" s="11"/>
      <c r="C20" s="11"/>
      <c r="D20" s="11"/>
      <c r="E20" s="11"/>
      <c r="F20" s="11"/>
      <c r="G20" s="11"/>
      <c r="H20" s="11"/>
    </row>
    <row r="21" spans="1:8" x14ac:dyDescent="0.4">
      <c r="A21" s="11"/>
      <c r="B21" s="11"/>
      <c r="C21" s="11"/>
      <c r="D21" s="11"/>
      <c r="E21" s="11"/>
      <c r="F21" s="11"/>
      <c r="G21" s="11"/>
      <c r="H21" s="11"/>
    </row>
    <row r="22" spans="1:8" x14ac:dyDescent="0.4">
      <c r="A22" s="11"/>
      <c r="B22" s="11"/>
      <c r="C22" s="11"/>
      <c r="D22" s="11"/>
      <c r="E22" s="11"/>
      <c r="F22" s="11"/>
      <c r="G22" s="11"/>
      <c r="H22" s="11"/>
    </row>
    <row r="24" spans="1:8" x14ac:dyDescent="0.4">
      <c r="A24" s="11"/>
      <c r="B24" s="11"/>
      <c r="C24" s="11"/>
      <c r="D24" s="11"/>
      <c r="E24" s="11"/>
      <c r="F24" s="11"/>
      <c r="G24" s="11"/>
      <c r="H24" s="11"/>
    </row>
    <row r="25" spans="1:8" x14ac:dyDescent="0.4">
      <c r="A25" s="11"/>
      <c r="B25" s="11"/>
      <c r="C25" s="11"/>
      <c r="D25" s="11"/>
      <c r="E25" s="11"/>
      <c r="F25" s="11"/>
      <c r="G25" s="11"/>
      <c r="H25" s="11"/>
    </row>
    <row r="26" spans="1:8" x14ac:dyDescent="0.4">
      <c r="A26" s="11"/>
      <c r="B26" s="11"/>
      <c r="C26" s="11"/>
      <c r="D26" s="11"/>
      <c r="E26" s="11"/>
      <c r="F26" s="11"/>
      <c r="G26" s="11"/>
      <c r="H26" s="11"/>
    </row>
    <row r="27" spans="1:8" x14ac:dyDescent="0.4">
      <c r="A27" s="11"/>
      <c r="B27" s="11"/>
      <c r="C27" s="11"/>
      <c r="D27" s="11"/>
      <c r="E27" s="11"/>
      <c r="F27" s="11"/>
      <c r="G27" s="11"/>
      <c r="H27" s="11"/>
    </row>
    <row r="28" spans="1:8" x14ac:dyDescent="0.4">
      <c r="A28" s="11"/>
      <c r="B28" s="11"/>
      <c r="C28" s="11"/>
      <c r="D28" s="11"/>
      <c r="E28" s="11"/>
      <c r="F28" s="11"/>
      <c r="G28" s="11"/>
      <c r="H28" s="11"/>
    </row>
    <row r="29" spans="1:8" x14ac:dyDescent="0.4">
      <c r="A29" s="11"/>
      <c r="B29" s="11"/>
      <c r="C29" s="11"/>
      <c r="D29" s="11"/>
      <c r="E29" s="11"/>
      <c r="F29" s="11"/>
      <c r="G29" s="11"/>
      <c r="H29" s="11"/>
    </row>
    <row r="30" spans="1:8" x14ac:dyDescent="0.4">
      <c r="A30" s="11"/>
      <c r="B30" s="11"/>
      <c r="C30" s="11"/>
      <c r="D30" s="11"/>
      <c r="E30" s="11"/>
      <c r="F30" s="11"/>
      <c r="G30" s="11"/>
      <c r="H30" s="11"/>
    </row>
    <row r="31" spans="1:8" x14ac:dyDescent="0.4">
      <c r="A31" s="11"/>
      <c r="B31" s="11"/>
      <c r="C31" s="11"/>
      <c r="D31" s="11"/>
      <c r="E31" s="11"/>
      <c r="F31" s="11"/>
      <c r="G31" s="11"/>
      <c r="H31" s="11"/>
    </row>
    <row r="32" spans="1:8" x14ac:dyDescent="0.4">
      <c r="A32" s="11"/>
      <c r="B32" s="11"/>
      <c r="C32" s="11"/>
      <c r="D32" s="11"/>
      <c r="E32" s="11"/>
      <c r="F32" s="11"/>
      <c r="G32" s="11"/>
      <c r="H32" s="11"/>
    </row>
    <row r="33" spans="1:8" x14ac:dyDescent="0.4">
      <c r="A33" s="11"/>
      <c r="B33" s="11"/>
      <c r="C33" s="11"/>
      <c r="D33" s="11"/>
      <c r="E33" s="11"/>
      <c r="F33" s="11"/>
      <c r="G33" s="11"/>
      <c r="H33" s="11"/>
    </row>
    <row r="34" spans="1:8" x14ac:dyDescent="0.4">
      <c r="A34" s="11"/>
      <c r="B34" s="11"/>
      <c r="C34" s="11"/>
      <c r="D34" s="11"/>
      <c r="E34" s="11"/>
      <c r="F34" s="11"/>
      <c r="G34" s="11"/>
      <c r="H34" s="11"/>
    </row>
    <row r="35" spans="1:8" x14ac:dyDescent="0.4">
      <c r="A35" s="11"/>
      <c r="B35" s="11"/>
      <c r="C35" s="11"/>
      <c r="D35" s="11"/>
      <c r="E35" s="11"/>
      <c r="F35" s="11"/>
      <c r="G35" s="11"/>
      <c r="H35" s="11"/>
    </row>
    <row r="36" spans="1:8" x14ac:dyDescent="0.4">
      <c r="A36" s="11"/>
      <c r="B36" s="11"/>
      <c r="C36" s="11"/>
      <c r="D36" s="11"/>
      <c r="E36" s="11"/>
      <c r="F36" s="11"/>
      <c r="G36" s="11"/>
      <c r="H36" s="11"/>
    </row>
    <row r="37" spans="1:8" x14ac:dyDescent="0.4">
      <c r="A37" s="11"/>
      <c r="B37" s="11"/>
      <c r="C37" s="11"/>
      <c r="D37" s="11"/>
      <c r="E37" s="11"/>
      <c r="F37" s="11"/>
      <c r="G37" s="11"/>
      <c r="H37" s="11"/>
    </row>
    <row r="38" spans="1:8" x14ac:dyDescent="0.4">
      <c r="A38" s="11"/>
      <c r="B38" s="11"/>
      <c r="C38" s="11"/>
      <c r="D38" s="11"/>
      <c r="E38" s="11"/>
      <c r="F38" s="11"/>
      <c r="G38" s="11"/>
      <c r="H38" s="11"/>
    </row>
    <row r="39" spans="1:8" x14ac:dyDescent="0.4">
      <c r="A39" s="11"/>
      <c r="B39" s="11"/>
      <c r="C39" s="11"/>
      <c r="D39" s="11"/>
      <c r="E39" s="11"/>
      <c r="F39" s="11"/>
      <c r="G39" s="11"/>
      <c r="H39" s="11"/>
    </row>
    <row r="40" spans="1:8" x14ac:dyDescent="0.4">
      <c r="A40" s="11"/>
      <c r="B40" s="11"/>
      <c r="C40" s="11"/>
      <c r="D40" s="11"/>
      <c r="E40" s="11"/>
      <c r="F40" s="11"/>
      <c r="G40" s="11"/>
      <c r="H40" s="11"/>
    </row>
    <row r="41" spans="1:8" x14ac:dyDescent="0.4">
      <c r="A41" s="11"/>
      <c r="B41" s="11"/>
      <c r="C41" s="11"/>
      <c r="D41" s="11"/>
      <c r="E41" s="11"/>
      <c r="F41" s="11"/>
      <c r="G41" s="11"/>
      <c r="H41" s="11"/>
    </row>
    <row r="42" spans="1:8" x14ac:dyDescent="0.4">
      <c r="A42" s="11"/>
      <c r="B42" s="11"/>
      <c r="C42" s="11"/>
      <c r="D42" s="11"/>
      <c r="E42" s="11"/>
      <c r="F42" s="11"/>
      <c r="G42" s="11"/>
      <c r="H42" s="11"/>
    </row>
    <row r="43" spans="1:8" x14ac:dyDescent="0.4">
      <c r="A43" s="11"/>
      <c r="B43" s="11"/>
      <c r="C43" s="11"/>
      <c r="D43" s="11"/>
      <c r="E43" s="11"/>
      <c r="F43" s="11"/>
      <c r="G43" s="11"/>
      <c r="H43" s="11"/>
    </row>
    <row r="44" spans="1:8" x14ac:dyDescent="0.4">
      <c r="A44" s="11"/>
      <c r="B44" s="11"/>
      <c r="C44" s="11"/>
      <c r="D44" s="11"/>
      <c r="E44" s="11"/>
      <c r="F44" s="11"/>
      <c r="G44" s="11"/>
      <c r="H44" s="11"/>
    </row>
    <row r="45" spans="1:8" x14ac:dyDescent="0.4">
      <c r="A45" s="11"/>
      <c r="B45" s="11"/>
      <c r="C45" s="11"/>
      <c r="D45" s="11"/>
      <c r="E45" s="11"/>
      <c r="F45" s="11"/>
      <c r="G45" s="11"/>
      <c r="H45" s="11"/>
    </row>
    <row r="46" spans="1:8" x14ac:dyDescent="0.4">
      <c r="A46" s="11"/>
      <c r="B46" s="11"/>
      <c r="C46" s="11"/>
      <c r="D46" s="11"/>
      <c r="E46" s="11"/>
      <c r="F46" s="11"/>
      <c r="G46" s="11"/>
      <c r="H46" s="11"/>
    </row>
    <row r="47" spans="1:8" x14ac:dyDescent="0.4">
      <c r="A47" s="11"/>
      <c r="B47" s="11"/>
      <c r="C47" s="11"/>
      <c r="D47" s="11"/>
      <c r="E47" s="11"/>
      <c r="F47" s="11"/>
      <c r="G47" s="11"/>
      <c r="H47" s="11"/>
    </row>
    <row r="48" spans="1:8" x14ac:dyDescent="0.4">
      <c r="A48" s="11"/>
      <c r="B48" s="11"/>
      <c r="C48" s="11"/>
      <c r="D48" s="11"/>
      <c r="E48" s="11"/>
      <c r="F48" s="11"/>
      <c r="G48" s="11"/>
      <c r="H48" s="11"/>
    </row>
    <row r="49" spans="1:8" x14ac:dyDescent="0.4">
      <c r="A49" s="11"/>
      <c r="B49" s="11"/>
      <c r="C49" s="11"/>
      <c r="D49" s="11"/>
      <c r="E49" s="11"/>
      <c r="F49" s="11"/>
      <c r="G49" s="11"/>
      <c r="H49" s="11"/>
    </row>
    <row r="50" spans="1:8" x14ac:dyDescent="0.4">
      <c r="A50" s="11"/>
      <c r="B50" s="11"/>
      <c r="C50" s="11"/>
      <c r="D50" s="11"/>
      <c r="E50" s="11"/>
      <c r="F50" s="11"/>
      <c r="G50" s="11"/>
      <c r="H50" s="11"/>
    </row>
    <row r="51" spans="1:8" x14ac:dyDescent="0.4">
      <c r="A51" s="11"/>
      <c r="B51" s="11"/>
      <c r="C51" s="11"/>
      <c r="D51" s="11"/>
      <c r="E51" s="11"/>
      <c r="F51" s="11"/>
      <c r="G51" s="11"/>
      <c r="H51" s="11"/>
    </row>
    <row r="52" spans="1:8" x14ac:dyDescent="0.4">
      <c r="A52" s="11"/>
      <c r="B52" s="11"/>
      <c r="C52" s="11"/>
      <c r="D52" s="11"/>
      <c r="E52" s="11"/>
      <c r="F52" s="11"/>
      <c r="G52" s="11"/>
      <c r="H52" s="11"/>
    </row>
    <row r="53" spans="1:8" x14ac:dyDescent="0.4">
      <c r="A53" s="11"/>
      <c r="B53" s="11"/>
      <c r="C53" s="11"/>
      <c r="D53" s="11"/>
      <c r="E53" s="11"/>
      <c r="F53" s="11"/>
      <c r="G53" s="11"/>
      <c r="H53" s="11"/>
    </row>
    <row r="54" spans="1:8" x14ac:dyDescent="0.4">
      <c r="A54" s="11"/>
      <c r="B54" s="11"/>
      <c r="C54" s="11"/>
      <c r="D54" s="11"/>
      <c r="E54" s="11"/>
      <c r="F54" s="11"/>
      <c r="G54" s="11"/>
      <c r="H54" s="11"/>
    </row>
    <row r="55" spans="1:8" x14ac:dyDescent="0.4">
      <c r="A55" s="11"/>
      <c r="B55" s="11"/>
      <c r="C55" s="11"/>
      <c r="D55" s="11"/>
      <c r="E55" s="11"/>
      <c r="F55" s="11"/>
      <c r="G55" s="11"/>
      <c r="H55" s="11"/>
    </row>
    <row r="56" spans="1:8" x14ac:dyDescent="0.4">
      <c r="A56" s="11"/>
      <c r="B56" s="11"/>
      <c r="C56" s="11"/>
      <c r="D56" s="11"/>
      <c r="E56" s="11"/>
      <c r="F56" s="11"/>
      <c r="G56" s="11"/>
      <c r="H56" s="11"/>
    </row>
    <row r="57" spans="1:8" x14ac:dyDescent="0.4">
      <c r="A57" s="11"/>
      <c r="B57" s="11"/>
      <c r="C57" s="11"/>
      <c r="D57" s="11"/>
      <c r="E57" s="11"/>
      <c r="F57" s="11"/>
      <c r="G57" s="11"/>
      <c r="H57" s="11"/>
    </row>
    <row r="58" spans="1:8" x14ac:dyDescent="0.4">
      <c r="A58" s="11"/>
      <c r="B58" s="11"/>
      <c r="C58" s="11"/>
      <c r="D58" s="11"/>
      <c r="E58" s="11"/>
      <c r="F58" s="11"/>
      <c r="G58" s="11"/>
      <c r="H58" s="11"/>
    </row>
    <row r="59" spans="1:8" x14ac:dyDescent="0.4">
      <c r="A59" s="11"/>
      <c r="B59" s="11"/>
      <c r="C59" s="11"/>
      <c r="D59" s="11"/>
      <c r="E59" s="11"/>
      <c r="F59" s="11"/>
      <c r="G59" s="11"/>
      <c r="H59" s="11"/>
    </row>
    <row r="60" spans="1:8" x14ac:dyDescent="0.4">
      <c r="A60" s="11"/>
      <c r="B60" s="11"/>
      <c r="C60" s="11"/>
      <c r="D60" s="11"/>
      <c r="E60" s="11"/>
      <c r="F60" s="11"/>
      <c r="G60" s="11"/>
      <c r="H60" s="11"/>
    </row>
    <row r="61" spans="1:8" x14ac:dyDescent="0.4">
      <c r="A61" s="11"/>
      <c r="B61" s="11"/>
      <c r="C61" s="11"/>
      <c r="D61" s="11"/>
      <c r="E61" s="11"/>
      <c r="F61" s="11"/>
      <c r="G61" s="11"/>
      <c r="H61" s="11"/>
    </row>
    <row r="62" spans="1:8" x14ac:dyDescent="0.4">
      <c r="A62" s="11"/>
      <c r="B62" s="11"/>
      <c r="C62" s="11"/>
      <c r="D62" s="11"/>
      <c r="E62" s="11"/>
      <c r="F62" s="11"/>
      <c r="G62" s="11"/>
      <c r="H62" s="11"/>
    </row>
    <row r="63" spans="1:8" x14ac:dyDescent="0.4">
      <c r="A63" s="11"/>
      <c r="B63" s="11"/>
      <c r="C63" s="11"/>
      <c r="D63" s="11"/>
      <c r="E63" s="11"/>
      <c r="F63" s="11"/>
      <c r="G63" s="11"/>
      <c r="H63" s="11"/>
    </row>
    <row r="64" spans="1:8" x14ac:dyDescent="0.4">
      <c r="A64" s="11"/>
      <c r="B64" s="11"/>
      <c r="C64" s="11"/>
      <c r="D64" s="11"/>
      <c r="E64" s="11"/>
      <c r="F64" s="11"/>
      <c r="G64" s="11"/>
      <c r="H64" s="11"/>
    </row>
    <row r="65" spans="1:8" x14ac:dyDescent="0.4">
      <c r="A65" s="11"/>
      <c r="B65" s="11"/>
      <c r="C65" s="11"/>
      <c r="D65" s="11"/>
      <c r="E65" s="11"/>
      <c r="F65" s="11"/>
      <c r="G65" s="11"/>
      <c r="H65" s="11"/>
    </row>
    <row r="66" spans="1:8" x14ac:dyDescent="0.4">
      <c r="A66" s="11"/>
      <c r="B66" s="11"/>
      <c r="C66" s="11"/>
      <c r="D66" s="11"/>
      <c r="E66" s="11"/>
      <c r="F66" s="11"/>
      <c r="G66" s="11"/>
      <c r="H66" s="11"/>
    </row>
    <row r="67" spans="1:8" x14ac:dyDescent="0.4">
      <c r="A67" s="11"/>
      <c r="B67" s="11"/>
      <c r="C67" s="11"/>
      <c r="D67" s="11"/>
      <c r="E67" s="11"/>
      <c r="F67" s="11"/>
      <c r="G67" s="11"/>
      <c r="H67" s="11"/>
    </row>
    <row r="68" spans="1:8" x14ac:dyDescent="0.4">
      <c r="A68" s="11"/>
      <c r="B68" s="11"/>
      <c r="C68" s="11"/>
      <c r="D68" s="11"/>
      <c r="E68" s="11"/>
      <c r="F68" s="11"/>
      <c r="G68" s="11"/>
      <c r="H68" s="11"/>
    </row>
  </sheetData>
  <autoFilter ref="A1:H68" xr:uid="{6D565701-23F3-4EC6-9575-2B70B1953AC0}"/>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6CCE0-F471-488F-9C74-CF01D468D480}">
  <sheetPr>
    <tabColor theme="4"/>
  </sheetPr>
  <dimension ref="A1:AK67"/>
  <sheetViews>
    <sheetView zoomScale="60" zoomScaleNormal="60" workbookViewId="0">
      <pane xSplit="2" ySplit="1" topLeftCell="C2" activePane="bottomRight" state="frozen"/>
      <selection pane="topRight"/>
      <selection pane="bottomLeft"/>
      <selection pane="bottomRight" activeCell="B13" sqref="B13"/>
    </sheetView>
  </sheetViews>
  <sheetFormatPr defaultRowHeight="16" x14ac:dyDescent="0.4"/>
  <cols>
    <col min="1" max="1" width="23.08203125" customWidth="1"/>
    <col min="2" max="2" width="16.83203125" customWidth="1"/>
  </cols>
  <sheetData>
    <row r="1" spans="1:37" ht="53" thickBot="1" x14ac:dyDescent="0.45">
      <c r="A1" s="75" t="s">
        <v>78</v>
      </c>
      <c r="B1" s="76" t="s">
        <v>79</v>
      </c>
      <c r="C1" s="77">
        <v>46146</v>
      </c>
      <c r="D1" s="77">
        <v>46153</v>
      </c>
      <c r="E1" s="77">
        <v>46160</v>
      </c>
      <c r="F1" s="77">
        <v>46167</v>
      </c>
      <c r="G1" s="77">
        <v>46174</v>
      </c>
      <c r="H1" s="77">
        <v>46181</v>
      </c>
      <c r="I1" s="77">
        <v>46188</v>
      </c>
      <c r="J1" s="77">
        <v>46195</v>
      </c>
      <c r="K1" s="78">
        <v>46202</v>
      </c>
      <c r="L1" s="77">
        <v>46209</v>
      </c>
      <c r="M1" s="77">
        <v>46216</v>
      </c>
      <c r="N1" s="77">
        <v>46223</v>
      </c>
      <c r="O1" s="77">
        <v>46230</v>
      </c>
      <c r="P1" s="77">
        <v>46237</v>
      </c>
      <c r="Q1" s="77">
        <v>46244</v>
      </c>
      <c r="R1" s="77">
        <v>46251</v>
      </c>
      <c r="S1" s="77">
        <v>46258</v>
      </c>
      <c r="T1" s="77">
        <v>46265</v>
      </c>
      <c r="U1" s="77">
        <v>46272</v>
      </c>
      <c r="V1" s="77">
        <v>46279</v>
      </c>
      <c r="W1" s="77">
        <v>46286</v>
      </c>
      <c r="X1" s="77">
        <v>46293</v>
      </c>
      <c r="Y1" s="77">
        <v>46300</v>
      </c>
      <c r="Z1" s="77">
        <v>46307</v>
      </c>
      <c r="AA1" s="77">
        <v>46314</v>
      </c>
      <c r="AB1" s="77">
        <v>46321</v>
      </c>
      <c r="AC1" s="77">
        <v>46328</v>
      </c>
      <c r="AD1" s="77">
        <v>46335</v>
      </c>
      <c r="AE1" s="77">
        <v>46342</v>
      </c>
      <c r="AF1" s="77">
        <v>46349</v>
      </c>
      <c r="AG1" s="77">
        <v>46356</v>
      </c>
      <c r="AH1" s="77">
        <v>46363</v>
      </c>
      <c r="AI1" s="77">
        <v>46370</v>
      </c>
      <c r="AJ1" s="77">
        <v>46377</v>
      </c>
      <c r="AK1" s="77">
        <v>46384</v>
      </c>
    </row>
    <row r="2" spans="1:37" ht="16.5" thickBot="1" x14ac:dyDescent="0.45">
      <c r="A2" s="79" t="s">
        <v>80</v>
      </c>
      <c r="B2" s="80"/>
      <c r="C2" s="81" t="s">
        <v>81</v>
      </c>
      <c r="D2" s="82"/>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c r="AJ2" s="81"/>
      <c r="AK2" s="83"/>
    </row>
    <row r="3" spans="1:37" ht="16.5" thickBot="1" x14ac:dyDescent="0.45">
      <c r="A3" s="84" t="s">
        <v>82</v>
      </c>
      <c r="B3" s="85" t="s">
        <v>83</v>
      </c>
      <c r="C3" s="86"/>
      <c r="D3" s="86"/>
      <c r="E3" s="86"/>
      <c r="F3" s="229" t="s">
        <v>84</v>
      </c>
      <c r="G3" s="230"/>
      <c r="H3" s="231"/>
      <c r="I3" s="92">
        <v>1</v>
      </c>
      <c r="L3" s="86"/>
      <c r="M3" s="86"/>
      <c r="N3" s="7"/>
      <c r="O3" s="7"/>
      <c r="P3" s="86"/>
      <c r="Q3" s="86"/>
      <c r="R3" s="86"/>
      <c r="S3" s="86"/>
      <c r="T3" s="86"/>
      <c r="U3" s="86"/>
      <c r="V3" s="86"/>
      <c r="W3" s="86"/>
      <c r="X3" s="86"/>
      <c r="Y3" s="86"/>
      <c r="Z3" s="86"/>
      <c r="AA3" s="86"/>
      <c r="AB3" s="86"/>
      <c r="AC3" s="86"/>
      <c r="AD3" s="86"/>
      <c r="AE3" s="86"/>
      <c r="AF3" s="86"/>
      <c r="AG3" s="86"/>
      <c r="AH3" s="86"/>
      <c r="AI3" s="86"/>
      <c r="AJ3" s="86"/>
      <c r="AK3" s="87"/>
    </row>
    <row r="4" spans="1:37" ht="16.5" thickBot="1" x14ac:dyDescent="0.45">
      <c r="A4" s="84" t="s">
        <v>82</v>
      </c>
      <c r="B4" s="85" t="s">
        <v>83</v>
      </c>
      <c r="C4" s="98"/>
      <c r="D4" s="98"/>
      <c r="E4" s="90"/>
      <c r="F4" s="90"/>
      <c r="G4" s="229" t="s">
        <v>84</v>
      </c>
      <c r="H4" s="230"/>
      <c r="I4" s="231"/>
      <c r="J4" s="92">
        <v>1</v>
      </c>
      <c r="L4" s="98"/>
      <c r="M4" s="98"/>
      <c r="N4" s="7"/>
      <c r="O4" s="7"/>
      <c r="P4" s="98"/>
      <c r="Q4" s="98"/>
      <c r="R4" s="98"/>
      <c r="S4" s="98"/>
      <c r="T4" s="98"/>
      <c r="U4" s="98"/>
      <c r="V4" s="98"/>
      <c r="W4" s="98"/>
      <c r="X4" s="98"/>
      <c r="Y4" s="98"/>
      <c r="Z4" s="98"/>
      <c r="AA4" s="98"/>
      <c r="AB4" s="98"/>
      <c r="AC4" s="98"/>
      <c r="AD4" s="98"/>
      <c r="AE4" s="98"/>
      <c r="AF4" s="98"/>
      <c r="AG4" s="98"/>
      <c r="AH4" s="98"/>
      <c r="AI4" s="98"/>
      <c r="AJ4" s="98"/>
      <c r="AK4" s="99"/>
    </row>
    <row r="5" spans="1:37" ht="16.5" thickBot="1" x14ac:dyDescent="0.45">
      <c r="A5" s="88" t="s">
        <v>82</v>
      </c>
      <c r="B5" s="89" t="s">
        <v>85</v>
      </c>
      <c r="C5" s="7"/>
      <c r="D5" s="7"/>
      <c r="E5" s="100"/>
      <c r="F5" s="229" t="s">
        <v>84</v>
      </c>
      <c r="G5" s="230"/>
      <c r="H5" s="231"/>
      <c r="I5" s="92">
        <v>3</v>
      </c>
      <c r="L5" s="98"/>
      <c r="M5" s="98"/>
      <c r="N5" s="7"/>
      <c r="O5" s="7"/>
      <c r="P5" s="91"/>
      <c r="Q5" s="90"/>
      <c r="R5" s="90"/>
      <c r="S5" s="90"/>
      <c r="T5" s="90"/>
      <c r="U5" s="90"/>
      <c r="V5" s="90"/>
      <c r="W5" s="90"/>
      <c r="X5" s="90"/>
      <c r="Y5" s="90"/>
      <c r="Z5" s="90"/>
      <c r="AA5" s="90"/>
      <c r="AB5" s="90"/>
      <c r="AC5" s="90"/>
      <c r="AD5" s="90"/>
      <c r="AE5" s="90"/>
      <c r="AF5" s="90"/>
      <c r="AG5" s="90"/>
      <c r="AH5" s="90"/>
      <c r="AI5" s="90"/>
      <c r="AJ5" s="90"/>
      <c r="AK5" s="93"/>
    </row>
    <row r="6" spans="1:37" ht="16.5" thickBot="1" x14ac:dyDescent="0.45">
      <c r="A6" s="88" t="s">
        <v>82</v>
      </c>
      <c r="B6" s="89" t="s">
        <v>86</v>
      </c>
      <c r="C6" s="7"/>
      <c r="D6" s="7"/>
      <c r="E6" s="100"/>
      <c r="F6" s="100"/>
      <c r="G6" s="229" t="s">
        <v>84</v>
      </c>
      <c r="H6" s="230"/>
      <c r="I6" s="231"/>
      <c r="J6" s="92">
        <v>3</v>
      </c>
      <c r="K6" s="92"/>
      <c r="L6" s="91"/>
      <c r="M6" s="90"/>
      <c r="N6" s="7"/>
      <c r="O6" s="7"/>
      <c r="P6" s="90"/>
      <c r="Q6" s="90"/>
      <c r="R6" s="90"/>
      <c r="S6" s="90"/>
      <c r="T6" s="90"/>
      <c r="U6" s="90"/>
      <c r="V6" s="90"/>
      <c r="W6" s="90"/>
      <c r="X6" s="90"/>
      <c r="Y6" s="90"/>
      <c r="Z6" s="90"/>
      <c r="AA6" s="90"/>
      <c r="AB6" s="90"/>
      <c r="AC6" s="90"/>
      <c r="AD6" s="90"/>
      <c r="AE6" s="90"/>
      <c r="AF6" s="90"/>
      <c r="AG6" s="90"/>
      <c r="AH6" s="90"/>
      <c r="AI6" s="90"/>
      <c r="AJ6" s="90"/>
      <c r="AK6" s="93"/>
    </row>
    <row r="7" spans="1:37" ht="16" customHeight="1" thickBot="1" x14ac:dyDescent="0.45">
      <c r="A7" s="88" t="s">
        <v>82</v>
      </c>
      <c r="B7" s="89" t="s">
        <v>75</v>
      </c>
      <c r="C7" s="90"/>
      <c r="D7" s="90"/>
      <c r="E7" s="229" t="s">
        <v>87</v>
      </c>
      <c r="F7" s="230"/>
      <c r="G7" s="231"/>
      <c r="H7" s="229" t="s">
        <v>84</v>
      </c>
      <c r="I7" s="230"/>
      <c r="J7" s="231"/>
      <c r="K7" s="92">
        <v>1</v>
      </c>
      <c r="L7" s="90"/>
      <c r="M7" s="90"/>
      <c r="N7" s="7"/>
      <c r="O7" s="7"/>
      <c r="P7" s="90"/>
      <c r="Q7" s="90"/>
      <c r="R7" s="90"/>
      <c r="S7" s="90"/>
      <c r="T7" s="90"/>
      <c r="U7" s="90"/>
      <c r="V7" s="90"/>
      <c r="W7" s="90"/>
      <c r="X7" s="90"/>
      <c r="Y7" s="90"/>
      <c r="Z7" s="90"/>
      <c r="AA7" s="90"/>
      <c r="AB7" s="90"/>
      <c r="AC7" s="90"/>
      <c r="AD7" s="90"/>
      <c r="AE7" s="90"/>
      <c r="AF7" s="90"/>
      <c r="AG7" s="90"/>
      <c r="AH7" s="90"/>
      <c r="AI7" s="90"/>
      <c r="AJ7" s="90"/>
      <c r="AK7" s="93"/>
    </row>
    <row r="8" spans="1:37" ht="16" customHeight="1" thickBot="1" x14ac:dyDescent="0.45">
      <c r="A8" s="88" t="s">
        <v>82</v>
      </c>
      <c r="B8" s="89" t="s">
        <v>69</v>
      </c>
      <c r="C8" s="90"/>
      <c r="D8" s="90"/>
      <c r="E8" s="229" t="s">
        <v>87</v>
      </c>
      <c r="F8" s="230"/>
      <c r="G8" s="231"/>
      <c r="H8" s="229" t="s">
        <v>84</v>
      </c>
      <c r="I8" s="230"/>
      <c r="J8" s="231"/>
      <c r="K8" s="92">
        <v>1</v>
      </c>
      <c r="L8" s="90"/>
      <c r="M8" s="90"/>
      <c r="N8" s="7"/>
      <c r="O8" s="7"/>
      <c r="P8" s="90"/>
      <c r="Q8" s="90"/>
      <c r="R8" s="90"/>
      <c r="S8" s="90"/>
      <c r="T8" s="90"/>
      <c r="U8" s="90"/>
      <c r="V8" s="90"/>
      <c r="W8" s="90"/>
      <c r="X8" s="90"/>
      <c r="Y8" s="90"/>
      <c r="Z8" s="90"/>
      <c r="AA8" s="90"/>
      <c r="AB8" s="90"/>
      <c r="AC8" s="90"/>
      <c r="AD8" s="90"/>
      <c r="AE8" s="90"/>
      <c r="AF8" s="90"/>
      <c r="AG8" s="90"/>
      <c r="AH8" s="90"/>
      <c r="AI8" s="90"/>
      <c r="AJ8" s="90"/>
      <c r="AK8" s="93"/>
    </row>
    <row r="9" spans="1:37" ht="16" customHeight="1" thickBot="1" x14ac:dyDescent="0.45">
      <c r="A9" s="88" t="s">
        <v>82</v>
      </c>
      <c r="B9" s="89" t="s">
        <v>88</v>
      </c>
      <c r="C9" s="100"/>
      <c r="D9" s="100"/>
      <c r="E9" s="229" t="s">
        <v>87</v>
      </c>
      <c r="F9" s="230"/>
      <c r="G9" s="231"/>
      <c r="H9" s="229" t="s">
        <v>84</v>
      </c>
      <c r="I9" s="230"/>
      <c r="J9" s="231"/>
      <c r="K9" s="92">
        <v>1</v>
      </c>
      <c r="L9" s="98"/>
      <c r="M9" s="98"/>
      <c r="N9" s="7"/>
      <c r="O9" s="7"/>
      <c r="P9" s="90"/>
      <c r="Q9" s="90"/>
      <c r="R9" s="90"/>
      <c r="S9" s="90"/>
      <c r="T9" s="90"/>
      <c r="U9" s="90"/>
      <c r="V9" s="90"/>
      <c r="W9" s="90"/>
      <c r="X9" s="90"/>
      <c r="Y9" s="90"/>
      <c r="Z9" s="90"/>
      <c r="AA9" s="90"/>
      <c r="AB9" s="90"/>
      <c r="AC9" s="90"/>
      <c r="AD9" s="90"/>
      <c r="AE9" s="90"/>
      <c r="AF9" s="90"/>
      <c r="AG9" s="90"/>
      <c r="AH9" s="90"/>
      <c r="AI9" s="90"/>
      <c r="AJ9" s="90"/>
      <c r="AK9" s="93"/>
    </row>
    <row r="10" spans="1:37" ht="16.5" customHeight="1" thickBot="1" x14ac:dyDescent="0.45">
      <c r="A10" s="94" t="s">
        <v>89</v>
      </c>
      <c r="B10" s="95" t="s">
        <v>90</v>
      </c>
      <c r="C10" s="96"/>
      <c r="D10" s="96"/>
      <c r="E10" s="96"/>
      <c r="F10" s="96"/>
      <c r="G10" s="96"/>
      <c r="H10" s="96"/>
      <c r="I10" s="96">
        <v>4</v>
      </c>
      <c r="J10" s="96">
        <v>4</v>
      </c>
      <c r="K10" s="101">
        <v>3</v>
      </c>
      <c r="L10" s="96"/>
      <c r="M10" s="101"/>
      <c r="N10" s="96"/>
      <c r="O10" s="96"/>
      <c r="P10" s="96"/>
      <c r="Q10" s="96"/>
      <c r="R10" s="96"/>
      <c r="S10" s="96"/>
      <c r="T10" s="96"/>
      <c r="U10" s="96"/>
      <c r="V10" s="96"/>
      <c r="W10" s="96"/>
      <c r="X10" s="96"/>
      <c r="Y10" s="96"/>
      <c r="Z10" s="96"/>
      <c r="AA10" s="96"/>
      <c r="AB10" s="96"/>
      <c r="AC10" s="96"/>
      <c r="AD10" s="96"/>
      <c r="AE10" s="96"/>
      <c r="AF10" s="96"/>
      <c r="AG10" s="96"/>
      <c r="AH10" s="96"/>
      <c r="AI10" s="96"/>
      <c r="AJ10" s="96"/>
      <c r="AK10" s="97"/>
    </row>
    <row r="11" spans="1:37" ht="16.5" thickBot="1" x14ac:dyDescent="0.45">
      <c r="A11" s="84" t="s">
        <v>91</v>
      </c>
      <c r="B11" s="85" t="s">
        <v>83</v>
      </c>
      <c r="C11" s="7"/>
      <c r="D11" s="7"/>
      <c r="E11" s="7"/>
      <c r="F11" s="7"/>
      <c r="G11" s="229" t="s">
        <v>84</v>
      </c>
      <c r="H11" s="230"/>
      <c r="I11" s="231"/>
      <c r="J11" s="92">
        <v>1</v>
      </c>
    </row>
    <row r="12" spans="1:37" ht="16.5" thickBot="1" x14ac:dyDescent="0.45">
      <c r="A12" s="84" t="s">
        <v>91</v>
      </c>
      <c r="B12" s="89" t="s">
        <v>83</v>
      </c>
      <c r="C12" s="7"/>
      <c r="D12" s="7"/>
      <c r="E12" s="7"/>
      <c r="F12" s="7"/>
      <c r="G12" s="102"/>
      <c r="H12" s="90"/>
      <c r="I12" s="229" t="s">
        <v>84</v>
      </c>
      <c r="J12" s="230"/>
      <c r="K12" s="231"/>
      <c r="L12" s="92">
        <v>1</v>
      </c>
    </row>
    <row r="13" spans="1:37" ht="16.5" thickBot="1" x14ac:dyDescent="0.45">
      <c r="A13" s="84" t="s">
        <v>91</v>
      </c>
      <c r="B13" s="89" t="s">
        <v>85</v>
      </c>
      <c r="C13" s="7"/>
      <c r="D13" s="7"/>
      <c r="E13" s="7"/>
      <c r="F13" s="7"/>
      <c r="G13" s="7"/>
      <c r="H13" s="7"/>
      <c r="I13" s="229" t="s">
        <v>84</v>
      </c>
      <c r="J13" s="230"/>
      <c r="K13" s="231"/>
      <c r="L13" s="92">
        <v>3</v>
      </c>
    </row>
    <row r="14" spans="1:37" ht="16.5" thickBot="1" x14ac:dyDescent="0.45">
      <c r="A14" s="84" t="s">
        <v>91</v>
      </c>
      <c r="B14" s="89" t="s">
        <v>86</v>
      </c>
      <c r="C14" s="7"/>
      <c r="D14" s="7"/>
      <c r="E14" s="7"/>
      <c r="F14" s="7"/>
      <c r="G14" s="100"/>
      <c r="H14" s="100"/>
      <c r="L14" s="229" t="s">
        <v>84</v>
      </c>
      <c r="M14" s="231"/>
      <c r="N14" s="92">
        <v>4</v>
      </c>
    </row>
    <row r="15" spans="1:37" ht="16.5" customHeight="1" thickBot="1" x14ac:dyDescent="0.45">
      <c r="A15" s="84" t="s">
        <v>91</v>
      </c>
      <c r="B15" s="89" t="s">
        <v>75</v>
      </c>
      <c r="C15" s="7"/>
      <c r="D15" s="7"/>
      <c r="E15" s="7"/>
      <c r="F15" s="7"/>
      <c r="G15" s="7"/>
      <c r="H15" s="7"/>
      <c r="I15" s="229" t="s">
        <v>87</v>
      </c>
      <c r="J15" s="230"/>
      <c r="K15" s="231"/>
      <c r="L15" s="229" t="s">
        <v>84</v>
      </c>
      <c r="M15" s="231"/>
      <c r="N15" s="92">
        <v>1</v>
      </c>
    </row>
    <row r="16" spans="1:37" ht="16.5" customHeight="1" thickBot="1" x14ac:dyDescent="0.45">
      <c r="A16" s="84" t="s">
        <v>91</v>
      </c>
      <c r="B16" s="89" t="s">
        <v>92</v>
      </c>
      <c r="C16" s="7"/>
      <c r="D16" s="7"/>
      <c r="E16" s="7"/>
      <c r="F16" s="7"/>
      <c r="G16" s="7"/>
      <c r="H16" s="7"/>
      <c r="I16" s="229" t="s">
        <v>87</v>
      </c>
      <c r="J16" s="230"/>
      <c r="K16" s="231"/>
      <c r="L16" s="229" t="s">
        <v>84</v>
      </c>
      <c r="M16" s="230"/>
      <c r="N16" s="231"/>
      <c r="O16" s="92">
        <v>1</v>
      </c>
    </row>
    <row r="17" spans="1:37" ht="29.15" customHeight="1" thickBot="1" x14ac:dyDescent="0.45">
      <c r="A17" s="84" t="s">
        <v>91</v>
      </c>
      <c r="B17" s="89" t="s">
        <v>88</v>
      </c>
      <c r="C17" s="7"/>
      <c r="D17" s="7"/>
      <c r="E17" s="7"/>
      <c r="F17" s="7"/>
      <c r="G17" s="7"/>
      <c r="H17" s="7"/>
      <c r="I17" s="229" t="s">
        <v>87</v>
      </c>
      <c r="J17" s="230"/>
      <c r="K17" s="231"/>
      <c r="L17" s="229" t="s">
        <v>84</v>
      </c>
      <c r="M17" s="230"/>
      <c r="N17" s="231"/>
      <c r="O17" s="92">
        <v>1</v>
      </c>
    </row>
    <row r="18" spans="1:37" ht="16.5" thickBot="1" x14ac:dyDescent="0.45">
      <c r="A18" s="94" t="s">
        <v>93</v>
      </c>
      <c r="B18" s="95" t="s">
        <v>94</v>
      </c>
      <c r="C18" s="96"/>
      <c r="D18" s="96"/>
      <c r="E18" s="96"/>
      <c r="F18" s="96"/>
      <c r="G18" s="96"/>
      <c r="H18" s="96"/>
      <c r="I18" s="96"/>
      <c r="J18" s="96">
        <v>1</v>
      </c>
      <c r="K18" s="96"/>
      <c r="L18" s="96">
        <v>4</v>
      </c>
      <c r="M18" s="96"/>
      <c r="N18" s="96">
        <v>5</v>
      </c>
      <c r="O18" s="96">
        <v>2</v>
      </c>
      <c r="P18" s="96"/>
      <c r="Q18" s="96"/>
      <c r="R18" s="96"/>
      <c r="S18" s="96"/>
      <c r="T18" s="96"/>
      <c r="U18" s="96"/>
      <c r="V18" s="96"/>
      <c r="W18" s="96"/>
      <c r="X18" s="96"/>
      <c r="Y18" s="96"/>
      <c r="Z18" s="96"/>
      <c r="AA18" s="96"/>
      <c r="AB18" s="96"/>
      <c r="AC18" s="96"/>
      <c r="AD18" s="96"/>
      <c r="AE18" s="96"/>
      <c r="AF18" s="96"/>
      <c r="AG18" s="96"/>
      <c r="AH18" s="96"/>
      <c r="AI18" s="96"/>
      <c r="AJ18" s="96"/>
      <c r="AK18" s="97"/>
    </row>
    <row r="19" spans="1:37" ht="16.5" thickBot="1" x14ac:dyDescent="0.45">
      <c r="A19" s="84" t="s">
        <v>95</v>
      </c>
      <c r="B19" s="85" t="s">
        <v>83</v>
      </c>
      <c r="G19" s="229" t="s">
        <v>84</v>
      </c>
      <c r="H19" s="230"/>
      <c r="I19" s="231"/>
      <c r="J19" s="92">
        <v>1</v>
      </c>
    </row>
    <row r="20" spans="1:37" ht="16.5" thickBot="1" x14ac:dyDescent="0.45">
      <c r="A20" s="84" t="s">
        <v>95</v>
      </c>
      <c r="B20" s="85" t="s">
        <v>83</v>
      </c>
      <c r="I20" s="229" t="s">
        <v>84</v>
      </c>
      <c r="J20" s="230"/>
      <c r="K20" s="231"/>
      <c r="L20" s="92">
        <v>1</v>
      </c>
    </row>
    <row r="21" spans="1:37" ht="16.5" thickBot="1" x14ac:dyDescent="0.45">
      <c r="A21" s="84" t="s">
        <v>95</v>
      </c>
      <c r="B21" s="89" t="s">
        <v>85</v>
      </c>
      <c r="I21" s="229" t="s">
        <v>84</v>
      </c>
      <c r="J21" s="230"/>
      <c r="K21" s="231"/>
      <c r="L21" s="92">
        <v>3</v>
      </c>
    </row>
    <row r="22" spans="1:37" ht="16.5" thickBot="1" x14ac:dyDescent="0.45">
      <c r="A22" s="84" t="s">
        <v>95</v>
      </c>
      <c r="B22" s="89" t="s">
        <v>86</v>
      </c>
      <c r="M22" s="229" t="s">
        <v>84</v>
      </c>
      <c r="N22" s="231"/>
      <c r="O22" s="92">
        <v>3</v>
      </c>
    </row>
    <row r="23" spans="1:37" ht="16.5" thickBot="1" x14ac:dyDescent="0.45">
      <c r="A23" s="84" t="s">
        <v>95</v>
      </c>
      <c r="B23" s="89" t="s">
        <v>75</v>
      </c>
      <c r="I23" s="229" t="s">
        <v>87</v>
      </c>
      <c r="J23" s="230"/>
      <c r="K23" s="231"/>
      <c r="L23" s="229" t="s">
        <v>84</v>
      </c>
      <c r="M23" s="230"/>
      <c r="N23" s="231"/>
      <c r="O23" s="92">
        <v>1</v>
      </c>
    </row>
    <row r="24" spans="1:37" ht="16.5" customHeight="1" thickBot="1" x14ac:dyDescent="0.45">
      <c r="A24" s="84" t="s">
        <v>95</v>
      </c>
      <c r="B24" s="89" t="s">
        <v>92</v>
      </c>
      <c r="K24" s="229" t="s">
        <v>87</v>
      </c>
      <c r="L24" s="230"/>
      <c r="M24" s="231"/>
      <c r="N24" s="229" t="s">
        <v>84</v>
      </c>
      <c r="O24" s="230"/>
      <c r="P24" s="231"/>
      <c r="Q24" s="92">
        <v>1</v>
      </c>
    </row>
    <row r="25" spans="1:37" x14ac:dyDescent="0.4">
      <c r="A25" s="84" t="s">
        <v>95</v>
      </c>
      <c r="B25" s="89" t="s">
        <v>88</v>
      </c>
    </row>
    <row r="26" spans="1:37" ht="16.5" thickBot="1" x14ac:dyDescent="0.45">
      <c r="A26" s="94" t="s">
        <v>96</v>
      </c>
      <c r="B26" s="95" t="s">
        <v>97</v>
      </c>
      <c r="C26" s="96"/>
      <c r="D26" s="96"/>
      <c r="E26" s="96"/>
      <c r="F26" s="96"/>
      <c r="G26" s="96"/>
      <c r="H26" s="96"/>
      <c r="I26" s="96"/>
      <c r="J26" s="96">
        <v>1</v>
      </c>
      <c r="K26" s="96"/>
      <c r="L26" s="96">
        <v>4</v>
      </c>
      <c r="M26" s="96"/>
      <c r="N26" s="96"/>
      <c r="O26" s="96">
        <v>4</v>
      </c>
      <c r="P26" s="96"/>
      <c r="Q26" s="96">
        <v>1</v>
      </c>
      <c r="R26" s="96"/>
      <c r="S26" s="96"/>
      <c r="T26" s="96"/>
      <c r="U26" s="96"/>
      <c r="V26" s="96"/>
      <c r="W26" s="96"/>
      <c r="X26" s="96"/>
      <c r="Y26" s="96"/>
      <c r="Z26" s="96"/>
      <c r="AA26" s="96"/>
      <c r="AB26" s="96"/>
      <c r="AC26" s="96"/>
      <c r="AD26" s="96"/>
      <c r="AE26" s="96"/>
      <c r="AF26" s="96"/>
      <c r="AG26" s="96"/>
      <c r="AH26" s="96"/>
      <c r="AI26" s="96"/>
      <c r="AJ26" s="96"/>
      <c r="AK26" s="97"/>
    </row>
    <row r="27" spans="1:37" ht="16.5" thickBot="1" x14ac:dyDescent="0.45">
      <c r="A27" s="84" t="s">
        <v>98</v>
      </c>
      <c r="B27" s="85" t="s">
        <v>83</v>
      </c>
      <c r="J27" s="229" t="s">
        <v>84</v>
      </c>
      <c r="K27" s="230"/>
      <c r="L27" s="231"/>
      <c r="M27" s="92">
        <v>1</v>
      </c>
    </row>
    <row r="28" spans="1:37" ht="16.5" thickBot="1" x14ac:dyDescent="0.45">
      <c r="A28" s="84" t="s">
        <v>98</v>
      </c>
      <c r="B28" s="85" t="s">
        <v>83</v>
      </c>
      <c r="L28" s="229" t="s">
        <v>84</v>
      </c>
      <c r="M28" s="230"/>
      <c r="N28" s="231"/>
      <c r="O28" s="92">
        <v>1</v>
      </c>
    </row>
    <row r="29" spans="1:37" ht="16.5" thickBot="1" x14ac:dyDescent="0.45">
      <c r="A29" s="84" t="s">
        <v>98</v>
      </c>
      <c r="B29" s="89" t="s">
        <v>85</v>
      </c>
      <c r="L29" s="229" t="s">
        <v>84</v>
      </c>
      <c r="M29" s="230"/>
      <c r="N29" s="231"/>
      <c r="O29" s="92">
        <v>3</v>
      </c>
    </row>
    <row r="30" spans="1:37" ht="16.5" thickBot="1" x14ac:dyDescent="0.45">
      <c r="A30" s="84" t="s">
        <v>98</v>
      </c>
      <c r="B30" s="89" t="s">
        <v>86</v>
      </c>
      <c r="P30" s="229" t="s">
        <v>84</v>
      </c>
      <c r="Q30" s="231"/>
      <c r="R30" s="92">
        <v>3</v>
      </c>
    </row>
    <row r="31" spans="1:37" ht="16.5" customHeight="1" thickBot="1" x14ac:dyDescent="0.45">
      <c r="A31" s="84" t="s">
        <v>98</v>
      </c>
      <c r="B31" s="89" t="s">
        <v>75</v>
      </c>
    </row>
    <row r="32" spans="1:37" ht="16.5" customHeight="1" thickBot="1" x14ac:dyDescent="0.45">
      <c r="A32" s="84" t="s">
        <v>98</v>
      </c>
      <c r="B32" s="89" t="s">
        <v>92</v>
      </c>
    </row>
    <row r="33" spans="1:37" ht="16.5" customHeight="1" x14ac:dyDescent="0.4">
      <c r="A33" s="84" t="s">
        <v>98</v>
      </c>
      <c r="B33" s="89" t="s">
        <v>88</v>
      </c>
    </row>
    <row r="34" spans="1:37" x14ac:dyDescent="0.4">
      <c r="A34" s="94" t="s">
        <v>99</v>
      </c>
      <c r="B34" s="95" t="s">
        <v>97</v>
      </c>
      <c r="C34" s="96"/>
      <c r="D34" s="96"/>
      <c r="E34" s="96"/>
      <c r="F34" s="96"/>
      <c r="G34" s="96"/>
      <c r="H34" s="96"/>
      <c r="I34" s="96"/>
      <c r="J34" s="96"/>
      <c r="K34" s="96"/>
      <c r="L34" s="96"/>
      <c r="M34" s="96">
        <v>1</v>
      </c>
      <c r="N34" s="96"/>
      <c r="O34" s="96">
        <v>4</v>
      </c>
      <c r="P34" s="96"/>
      <c r="Q34" s="96"/>
      <c r="R34" s="96">
        <v>3</v>
      </c>
      <c r="S34" s="96"/>
      <c r="T34" s="96"/>
      <c r="U34" s="96"/>
      <c r="V34" s="96"/>
      <c r="W34" s="96"/>
      <c r="X34" s="96"/>
      <c r="Y34" s="96"/>
      <c r="Z34" s="96"/>
      <c r="AA34" s="96"/>
      <c r="AB34" s="96"/>
      <c r="AC34" s="96"/>
      <c r="AD34" s="96"/>
      <c r="AE34" s="96"/>
      <c r="AF34" s="96"/>
      <c r="AG34" s="96"/>
      <c r="AH34" s="96"/>
      <c r="AI34" s="96"/>
      <c r="AJ34" s="96"/>
      <c r="AK34" s="97"/>
    </row>
    <row r="35" spans="1:37" x14ac:dyDescent="0.4">
      <c r="A35" s="84" t="s">
        <v>100</v>
      </c>
      <c r="B35" s="107" t="s">
        <v>101</v>
      </c>
      <c r="O35" s="229" t="s">
        <v>84</v>
      </c>
      <c r="P35" s="230"/>
      <c r="Q35" s="231"/>
      <c r="R35" s="92">
        <v>1</v>
      </c>
    </row>
    <row r="36" spans="1:37" x14ac:dyDescent="0.4">
      <c r="A36" s="84" t="s">
        <v>100</v>
      </c>
      <c r="B36" s="89" t="s">
        <v>85</v>
      </c>
      <c r="P36" s="229" t="s">
        <v>84</v>
      </c>
      <c r="Q36" s="230"/>
      <c r="R36" s="231"/>
      <c r="S36" s="92">
        <v>4</v>
      </c>
    </row>
    <row r="37" spans="1:37" x14ac:dyDescent="0.4">
      <c r="A37" s="84" t="s">
        <v>100</v>
      </c>
      <c r="B37" s="89" t="s">
        <v>86</v>
      </c>
      <c r="P37" s="229" t="s">
        <v>84</v>
      </c>
      <c r="Q37" s="230"/>
      <c r="R37" s="231"/>
      <c r="S37" s="92">
        <v>2</v>
      </c>
    </row>
    <row r="38" spans="1:37" ht="16.5" customHeight="1" x14ac:dyDescent="0.4">
      <c r="A38" s="84" t="s">
        <v>100</v>
      </c>
      <c r="B38" s="89" t="s">
        <v>75</v>
      </c>
      <c r="M38" s="229" t="s">
        <v>87</v>
      </c>
      <c r="N38" s="230"/>
      <c r="O38" s="231"/>
      <c r="P38" s="229" t="s">
        <v>84</v>
      </c>
      <c r="Q38" s="230"/>
      <c r="R38" s="231"/>
      <c r="S38" s="92">
        <v>1</v>
      </c>
    </row>
    <row r="39" spans="1:37" ht="16.5" customHeight="1" x14ac:dyDescent="0.4">
      <c r="A39" s="84" t="s">
        <v>100</v>
      </c>
      <c r="B39" s="89" t="s">
        <v>92</v>
      </c>
      <c r="M39" s="229" t="s">
        <v>87</v>
      </c>
      <c r="N39" s="230"/>
      <c r="O39" s="231"/>
      <c r="P39" s="229" t="s">
        <v>84</v>
      </c>
      <c r="Q39" s="230"/>
      <c r="R39" s="231"/>
      <c r="S39" s="92">
        <v>1</v>
      </c>
    </row>
    <row r="40" spans="1:37" ht="16.5" customHeight="1" x14ac:dyDescent="0.4">
      <c r="A40" s="84" t="s">
        <v>100</v>
      </c>
      <c r="B40" s="89" t="s">
        <v>88</v>
      </c>
    </row>
    <row r="41" spans="1:37" x14ac:dyDescent="0.4">
      <c r="A41" s="94" t="s">
        <v>102</v>
      </c>
      <c r="B41" s="95" t="s">
        <v>103</v>
      </c>
      <c r="C41" s="96"/>
      <c r="D41" s="96"/>
      <c r="E41" s="96"/>
      <c r="F41" s="96"/>
      <c r="G41" s="96"/>
      <c r="H41" s="96"/>
      <c r="I41" s="96"/>
      <c r="J41" s="96"/>
      <c r="K41" s="96"/>
      <c r="L41" s="96"/>
      <c r="M41" s="96"/>
      <c r="N41" s="96"/>
      <c r="O41" s="96"/>
      <c r="P41" s="96"/>
      <c r="Q41" s="96"/>
      <c r="R41" s="96">
        <v>1</v>
      </c>
      <c r="S41" s="96">
        <v>8</v>
      </c>
      <c r="T41" s="96"/>
      <c r="U41" s="96"/>
      <c r="V41" s="96"/>
      <c r="W41" s="96"/>
      <c r="X41" s="96"/>
      <c r="Y41" s="96"/>
      <c r="Z41" s="96"/>
      <c r="AA41" s="96"/>
      <c r="AB41" s="96"/>
      <c r="AC41" s="96"/>
      <c r="AD41" s="96"/>
      <c r="AE41" s="96"/>
      <c r="AF41" s="96"/>
      <c r="AG41" s="96"/>
      <c r="AH41" s="96"/>
      <c r="AI41" s="96"/>
      <c r="AJ41" s="96"/>
      <c r="AK41" s="97"/>
    </row>
    <row r="42" spans="1:37" x14ac:dyDescent="0.4">
      <c r="A42" s="84" t="s">
        <v>104</v>
      </c>
      <c r="B42" s="89" t="s">
        <v>85</v>
      </c>
      <c r="P42" s="229" t="s">
        <v>84</v>
      </c>
      <c r="Q42" s="230"/>
      <c r="R42" s="231"/>
      <c r="S42" s="92">
        <v>4</v>
      </c>
    </row>
    <row r="43" spans="1:37" x14ac:dyDescent="0.4">
      <c r="A43" s="84" t="s">
        <v>104</v>
      </c>
      <c r="B43" s="89" t="s">
        <v>86</v>
      </c>
      <c r="P43" s="229" t="s">
        <v>84</v>
      </c>
      <c r="Q43" s="230"/>
      <c r="R43" s="231"/>
      <c r="S43" s="92">
        <v>3</v>
      </c>
    </row>
    <row r="44" spans="1:37" x14ac:dyDescent="0.4">
      <c r="A44" s="94" t="s">
        <v>105</v>
      </c>
      <c r="B44" s="95" t="s">
        <v>103</v>
      </c>
      <c r="C44" s="96"/>
      <c r="D44" s="96"/>
      <c r="E44" s="96"/>
      <c r="F44" s="96"/>
      <c r="G44" s="96"/>
      <c r="H44" s="96"/>
      <c r="I44" s="96"/>
      <c r="J44" s="96"/>
      <c r="K44" s="96"/>
      <c r="L44" s="96"/>
      <c r="M44" s="96"/>
      <c r="N44" s="96"/>
      <c r="O44" s="96"/>
      <c r="P44" s="96"/>
      <c r="Q44" s="96"/>
      <c r="R44" s="96"/>
      <c r="S44" s="96">
        <v>7</v>
      </c>
      <c r="T44" s="96"/>
      <c r="U44" s="96"/>
      <c r="V44" s="96"/>
      <c r="W44" s="96"/>
      <c r="X44" s="96"/>
      <c r="Y44" s="96"/>
      <c r="Z44" s="96"/>
      <c r="AA44" s="96"/>
      <c r="AB44" s="96"/>
      <c r="AC44" s="96"/>
      <c r="AD44" s="96"/>
      <c r="AE44" s="96"/>
      <c r="AF44" s="96"/>
      <c r="AG44" s="96"/>
      <c r="AH44" s="96"/>
      <c r="AI44" s="96"/>
      <c r="AJ44" s="96"/>
      <c r="AK44" s="97"/>
    </row>
    <row r="45" spans="1:37" x14ac:dyDescent="0.4">
      <c r="A45" s="84" t="s">
        <v>106</v>
      </c>
      <c r="B45" s="85" t="s">
        <v>83</v>
      </c>
      <c r="N45" s="229" t="s">
        <v>84</v>
      </c>
      <c r="O45" s="230"/>
      <c r="P45" s="231"/>
      <c r="Q45" s="92">
        <v>3</v>
      </c>
    </row>
    <row r="46" spans="1:37" x14ac:dyDescent="0.4">
      <c r="A46" s="84" t="s">
        <v>106</v>
      </c>
      <c r="B46" s="85" t="s">
        <v>83</v>
      </c>
      <c r="N46" s="229" t="s">
        <v>84</v>
      </c>
      <c r="O46" s="230"/>
      <c r="P46" s="231"/>
      <c r="Q46" s="92">
        <v>2</v>
      </c>
    </row>
    <row r="47" spans="1:37" x14ac:dyDescent="0.4">
      <c r="A47" s="84" t="s">
        <v>106</v>
      </c>
      <c r="B47" s="89" t="s">
        <v>75</v>
      </c>
      <c r="N47" s="229" t="s">
        <v>87</v>
      </c>
      <c r="O47" s="230"/>
      <c r="P47" s="231"/>
      <c r="Q47" s="229" t="s">
        <v>84</v>
      </c>
      <c r="R47" s="230"/>
      <c r="S47" s="231"/>
      <c r="T47" s="92">
        <v>1</v>
      </c>
    </row>
    <row r="48" spans="1:37" x14ac:dyDescent="0.4">
      <c r="A48" s="84" t="s">
        <v>106</v>
      </c>
      <c r="B48" s="89" t="s">
        <v>92</v>
      </c>
      <c r="N48" s="229" t="s">
        <v>87</v>
      </c>
      <c r="O48" s="230"/>
      <c r="P48" s="231"/>
      <c r="Q48" s="229" t="s">
        <v>84</v>
      </c>
      <c r="R48" s="230"/>
      <c r="S48" s="231"/>
      <c r="T48" s="92">
        <v>1</v>
      </c>
    </row>
    <row r="49" spans="1:37" x14ac:dyDescent="0.4">
      <c r="A49" s="84" t="s">
        <v>106</v>
      </c>
      <c r="B49" s="89" t="s">
        <v>88</v>
      </c>
    </row>
    <row r="50" spans="1:37" x14ac:dyDescent="0.4">
      <c r="A50" s="94" t="s">
        <v>107</v>
      </c>
      <c r="B50" s="95" t="s">
        <v>108</v>
      </c>
      <c r="C50" s="96"/>
      <c r="D50" s="96"/>
      <c r="E50" s="96"/>
      <c r="F50" s="96"/>
      <c r="G50" s="96"/>
      <c r="H50" s="96"/>
      <c r="I50" s="96"/>
      <c r="J50" s="96"/>
      <c r="K50" s="96"/>
      <c r="L50" s="96"/>
      <c r="M50" s="96"/>
      <c r="N50" s="96"/>
      <c r="O50" s="96"/>
      <c r="P50" s="96"/>
      <c r="Q50" s="96">
        <v>5</v>
      </c>
      <c r="R50" s="96"/>
      <c r="S50" s="96"/>
      <c r="T50" s="96">
        <v>2</v>
      </c>
      <c r="U50" s="96"/>
      <c r="V50" s="96"/>
      <c r="W50" s="96"/>
      <c r="X50" s="96"/>
      <c r="Y50" s="96"/>
      <c r="Z50" s="96"/>
      <c r="AA50" s="96"/>
      <c r="AB50" s="96"/>
      <c r="AC50" s="96"/>
      <c r="AD50" s="96"/>
      <c r="AE50" s="96"/>
      <c r="AF50" s="96"/>
      <c r="AG50" s="96"/>
      <c r="AH50" s="96"/>
      <c r="AI50" s="96"/>
      <c r="AJ50" s="96"/>
      <c r="AK50" s="97"/>
    </row>
    <row r="51" spans="1:37" x14ac:dyDescent="0.4">
      <c r="A51" s="84" t="s">
        <v>109</v>
      </c>
      <c r="B51" s="85" t="s">
        <v>83</v>
      </c>
      <c r="N51" s="229" t="s">
        <v>84</v>
      </c>
      <c r="O51" s="230"/>
      <c r="P51" s="231"/>
      <c r="Q51" s="92">
        <v>1</v>
      </c>
    </row>
    <row r="52" spans="1:37" x14ac:dyDescent="0.4">
      <c r="A52" s="84" t="s">
        <v>109</v>
      </c>
      <c r="B52" s="89" t="s">
        <v>85</v>
      </c>
      <c r="P52" s="229" t="s">
        <v>84</v>
      </c>
      <c r="Q52" s="230"/>
      <c r="R52" s="231"/>
      <c r="S52" s="92">
        <v>4</v>
      </c>
    </row>
    <row r="53" spans="1:37" x14ac:dyDescent="0.4">
      <c r="A53" s="84" t="s">
        <v>109</v>
      </c>
      <c r="B53" s="89" t="s">
        <v>86</v>
      </c>
      <c r="P53" s="229" t="s">
        <v>84</v>
      </c>
      <c r="Q53" s="230"/>
      <c r="R53" s="231"/>
      <c r="S53" s="92">
        <v>2</v>
      </c>
    </row>
    <row r="54" spans="1:37" x14ac:dyDescent="0.4">
      <c r="A54" s="84" t="s">
        <v>109</v>
      </c>
      <c r="B54" s="89" t="s">
        <v>75</v>
      </c>
      <c r="N54" s="229" t="s">
        <v>87</v>
      </c>
      <c r="O54" s="230"/>
      <c r="P54" s="231"/>
      <c r="Q54" s="229" t="s">
        <v>84</v>
      </c>
      <c r="R54" s="230"/>
      <c r="S54" s="231"/>
      <c r="T54" s="92">
        <v>1</v>
      </c>
    </row>
    <row r="55" spans="1:37" x14ac:dyDescent="0.4">
      <c r="A55" s="84" t="s">
        <v>109</v>
      </c>
      <c r="B55" s="89" t="s">
        <v>92</v>
      </c>
      <c r="N55" s="229" t="s">
        <v>87</v>
      </c>
      <c r="O55" s="230"/>
      <c r="P55" s="231"/>
      <c r="Q55" s="229" t="s">
        <v>84</v>
      </c>
      <c r="R55" s="230"/>
      <c r="S55" s="231"/>
      <c r="T55" s="92">
        <v>1</v>
      </c>
    </row>
    <row r="56" spans="1:37" x14ac:dyDescent="0.4">
      <c r="A56" s="84" t="s">
        <v>109</v>
      </c>
      <c r="B56" s="89" t="s">
        <v>88</v>
      </c>
    </row>
    <row r="57" spans="1:37" x14ac:dyDescent="0.4">
      <c r="A57" s="94" t="s">
        <v>110</v>
      </c>
      <c r="B57" s="95" t="s">
        <v>111</v>
      </c>
      <c r="C57" s="96"/>
      <c r="D57" s="96"/>
      <c r="E57" s="96"/>
      <c r="F57" s="96"/>
      <c r="G57" s="96"/>
      <c r="H57" s="96"/>
      <c r="I57" s="96"/>
      <c r="J57" s="96"/>
      <c r="K57" s="96"/>
      <c r="L57" s="96"/>
      <c r="M57" s="96"/>
      <c r="N57" s="96"/>
      <c r="O57" s="96"/>
      <c r="P57" s="96"/>
      <c r="Q57" s="96">
        <v>1</v>
      </c>
      <c r="R57" s="96"/>
      <c r="S57" s="96">
        <v>6</v>
      </c>
      <c r="T57" s="96">
        <v>2</v>
      </c>
      <c r="U57" s="96"/>
      <c r="V57" s="96"/>
      <c r="W57" s="96"/>
      <c r="X57" s="96"/>
      <c r="Y57" s="96"/>
      <c r="Z57" s="96"/>
      <c r="AA57" s="96"/>
      <c r="AB57" s="96"/>
      <c r="AC57" s="96"/>
      <c r="AD57" s="96"/>
      <c r="AE57" s="96"/>
      <c r="AF57" s="96"/>
      <c r="AG57" s="96"/>
      <c r="AH57" s="96"/>
      <c r="AI57" s="96"/>
      <c r="AJ57" s="96"/>
      <c r="AK57" s="97"/>
    </row>
    <row r="58" spans="1:37" x14ac:dyDescent="0.4">
      <c r="A58" s="84" t="s">
        <v>112</v>
      </c>
      <c r="B58" s="85" t="s">
        <v>83</v>
      </c>
      <c r="N58" s="229" t="s">
        <v>84</v>
      </c>
      <c r="O58" s="230"/>
      <c r="P58" s="231"/>
      <c r="Q58" s="92">
        <v>1</v>
      </c>
    </row>
    <row r="59" spans="1:37" x14ac:dyDescent="0.4">
      <c r="A59" s="84" t="s">
        <v>112</v>
      </c>
      <c r="B59" s="89" t="s">
        <v>85</v>
      </c>
      <c r="P59" s="229" t="s">
        <v>84</v>
      </c>
      <c r="Q59" s="230"/>
      <c r="R59" s="231"/>
      <c r="S59" s="92">
        <v>4</v>
      </c>
    </row>
    <row r="60" spans="1:37" x14ac:dyDescent="0.4">
      <c r="A60" s="84" t="s">
        <v>112</v>
      </c>
      <c r="B60" s="89" t="s">
        <v>86</v>
      </c>
      <c r="P60" s="229" t="s">
        <v>84</v>
      </c>
      <c r="Q60" s="230"/>
      <c r="R60" s="231"/>
      <c r="S60" s="92">
        <v>2</v>
      </c>
    </row>
    <row r="61" spans="1:37" x14ac:dyDescent="0.4">
      <c r="A61" s="84" t="s">
        <v>112</v>
      </c>
      <c r="B61" s="89" t="s">
        <v>75</v>
      </c>
      <c r="N61" s="229" t="s">
        <v>87</v>
      </c>
      <c r="O61" s="230"/>
      <c r="P61" s="231"/>
      <c r="Q61" s="229" t="s">
        <v>84</v>
      </c>
      <c r="R61" s="230"/>
      <c r="S61" s="231"/>
      <c r="T61" s="92">
        <v>1</v>
      </c>
    </row>
    <row r="62" spans="1:37" x14ac:dyDescent="0.4">
      <c r="A62" s="94" t="s">
        <v>113</v>
      </c>
      <c r="B62" s="95" t="s">
        <v>114</v>
      </c>
      <c r="C62" s="96"/>
      <c r="D62" s="96"/>
      <c r="E62" s="96"/>
      <c r="F62" s="96"/>
      <c r="G62" s="96"/>
      <c r="H62" s="96"/>
      <c r="I62" s="96"/>
      <c r="J62" s="96"/>
      <c r="K62" s="96"/>
      <c r="L62" s="96"/>
      <c r="M62" s="96"/>
      <c r="N62" s="96"/>
      <c r="O62" s="96"/>
      <c r="P62" s="96"/>
      <c r="Q62" s="96">
        <v>1</v>
      </c>
      <c r="R62" s="96"/>
      <c r="S62" s="96">
        <v>6</v>
      </c>
      <c r="T62" s="96">
        <v>1</v>
      </c>
      <c r="U62" s="96"/>
      <c r="V62" s="96"/>
      <c r="W62" s="96"/>
      <c r="X62" s="96"/>
      <c r="Y62" s="96"/>
      <c r="Z62" s="96"/>
      <c r="AA62" s="96"/>
      <c r="AB62" s="96"/>
      <c r="AC62" s="96"/>
      <c r="AD62" s="96"/>
      <c r="AE62" s="96"/>
      <c r="AF62" s="96"/>
      <c r="AG62" s="96"/>
      <c r="AH62" s="96"/>
      <c r="AI62" s="96"/>
      <c r="AJ62" s="96"/>
      <c r="AK62" s="97"/>
    </row>
    <row r="64" spans="1:37" ht="16.5" x14ac:dyDescent="0.45">
      <c r="A64" t="s">
        <v>115</v>
      </c>
      <c r="B64" s="108" t="s">
        <v>116</v>
      </c>
    </row>
    <row r="65" spans="2:2" ht="16.5" x14ac:dyDescent="0.45">
      <c r="B65" s="109" t="s">
        <v>117</v>
      </c>
    </row>
    <row r="66" spans="2:2" ht="16.5" x14ac:dyDescent="0.45">
      <c r="B66" s="109" t="s">
        <v>118</v>
      </c>
    </row>
    <row r="67" spans="2:2" ht="16.5" x14ac:dyDescent="0.45">
      <c r="B67" s="109" t="s">
        <v>119</v>
      </c>
    </row>
  </sheetData>
  <autoFilter ref="A1:AK62" xr:uid="{1E36CCE0-F471-488F-9C74-CF01D468D480}"/>
  <mergeCells count="59">
    <mergeCell ref="N61:P61"/>
    <mergeCell ref="Q61:S61"/>
    <mergeCell ref="N48:P48"/>
    <mergeCell ref="Q48:S48"/>
    <mergeCell ref="N58:P58"/>
    <mergeCell ref="P59:R59"/>
    <mergeCell ref="P60:R60"/>
    <mergeCell ref="N54:P54"/>
    <mergeCell ref="Q54:S54"/>
    <mergeCell ref="N55:P55"/>
    <mergeCell ref="Q55:S55"/>
    <mergeCell ref="N51:P51"/>
    <mergeCell ref="P52:R52"/>
    <mergeCell ref="P53:R53"/>
    <mergeCell ref="N45:P45"/>
    <mergeCell ref="P42:R42"/>
    <mergeCell ref="P43:R43"/>
    <mergeCell ref="N47:P47"/>
    <mergeCell ref="Q47:S47"/>
    <mergeCell ref="N46:P46"/>
    <mergeCell ref="P30:Q30"/>
    <mergeCell ref="O35:Q35"/>
    <mergeCell ref="P37:R37"/>
    <mergeCell ref="P36:R36"/>
    <mergeCell ref="M39:O39"/>
    <mergeCell ref="P39:R39"/>
    <mergeCell ref="M38:O38"/>
    <mergeCell ref="P38:R38"/>
    <mergeCell ref="K24:M24"/>
    <mergeCell ref="N24:P24"/>
    <mergeCell ref="G19:I19"/>
    <mergeCell ref="I20:K20"/>
    <mergeCell ref="I21:K21"/>
    <mergeCell ref="M22:N22"/>
    <mergeCell ref="I23:K23"/>
    <mergeCell ref="L23:N23"/>
    <mergeCell ref="F3:H3"/>
    <mergeCell ref="J27:L27"/>
    <mergeCell ref="L28:N28"/>
    <mergeCell ref="L29:N29"/>
    <mergeCell ref="G4:I4"/>
    <mergeCell ref="F5:H5"/>
    <mergeCell ref="E7:G7"/>
    <mergeCell ref="E8:G8"/>
    <mergeCell ref="E9:G9"/>
    <mergeCell ref="H9:J9"/>
    <mergeCell ref="H8:J8"/>
    <mergeCell ref="H7:J7"/>
    <mergeCell ref="G6:I6"/>
    <mergeCell ref="G11:I11"/>
    <mergeCell ref="I12:K12"/>
    <mergeCell ref="I13:K13"/>
    <mergeCell ref="I17:K17"/>
    <mergeCell ref="L17:N17"/>
    <mergeCell ref="I16:K16"/>
    <mergeCell ref="L16:N16"/>
    <mergeCell ref="L14:M14"/>
    <mergeCell ref="L15:M15"/>
    <mergeCell ref="I15:K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F672A-D48C-4E2B-AFAE-A9B28A76C37F}">
  <sheetPr>
    <tabColor theme="4"/>
  </sheetPr>
  <dimension ref="A1:T301"/>
  <sheetViews>
    <sheetView workbookViewId="0">
      <pane xSplit="4" ySplit="1" topLeftCell="L14" activePane="bottomRight" state="frozen"/>
      <selection pane="topRight"/>
      <selection pane="bottomLeft"/>
      <selection pane="bottomRight" activeCell="L1" sqref="L1"/>
    </sheetView>
  </sheetViews>
  <sheetFormatPr defaultColWidth="255.33203125" defaultRowHeight="15.75" customHeight="1" x14ac:dyDescent="0.4"/>
  <cols>
    <col min="1" max="1" width="13" style="192" bestFit="1" customWidth="1"/>
    <col min="2" max="2" width="25.5" style="192" bestFit="1" customWidth="1"/>
    <col min="3" max="3" width="18.5" style="192" bestFit="1" customWidth="1"/>
    <col min="4" max="7" width="18.5" style="192" customWidth="1"/>
    <col min="8" max="8" width="18.33203125" style="198" customWidth="1"/>
    <col min="9" max="9" width="34" style="192" customWidth="1"/>
    <col min="10" max="10" width="54.83203125" style="192" customWidth="1"/>
    <col min="11" max="11" width="27.25" style="192" customWidth="1"/>
    <col min="12" max="12" width="27.08203125" style="192" bestFit="1" customWidth="1"/>
    <col min="13" max="13" width="28" style="192" customWidth="1"/>
    <col min="14" max="14" width="26.5" style="192" customWidth="1"/>
    <col min="15" max="15" width="20.5" style="192" customWidth="1"/>
    <col min="16" max="16" width="17.5" style="192" customWidth="1"/>
    <col min="17" max="17" width="32.83203125" style="192" customWidth="1"/>
    <col min="18" max="18" width="34.5" style="192" customWidth="1"/>
    <col min="19" max="19" width="27.5" style="192" customWidth="1"/>
    <col min="20" max="20" width="19.33203125" style="192" bestFit="1" customWidth="1"/>
    <col min="21" max="16384" width="255.33203125" style="192"/>
  </cols>
  <sheetData>
    <row r="1" spans="1:20" ht="27" x14ac:dyDescent="0.4">
      <c r="A1" s="194" t="s">
        <v>120</v>
      </c>
      <c r="B1" s="194" t="s">
        <v>121</v>
      </c>
      <c r="C1" s="194" t="s">
        <v>122</v>
      </c>
      <c r="D1" s="194" t="s">
        <v>123</v>
      </c>
      <c r="E1" s="194" t="s">
        <v>124</v>
      </c>
      <c r="F1" s="194" t="s">
        <v>125</v>
      </c>
      <c r="G1" s="194" t="s">
        <v>126</v>
      </c>
      <c r="H1" s="194" t="s">
        <v>127</v>
      </c>
      <c r="I1" s="194" t="s">
        <v>128</v>
      </c>
      <c r="J1" s="194" t="s">
        <v>129</v>
      </c>
      <c r="K1" s="194" t="s">
        <v>130</v>
      </c>
      <c r="L1" s="194" t="s">
        <v>131</v>
      </c>
      <c r="M1" s="194" t="s">
        <v>132</v>
      </c>
      <c r="N1" s="194" t="s">
        <v>133</v>
      </c>
      <c r="O1" s="194" t="s">
        <v>134</v>
      </c>
      <c r="P1" s="194" t="s">
        <v>135</v>
      </c>
      <c r="Q1" s="194" t="s">
        <v>136</v>
      </c>
      <c r="R1" s="194" t="s">
        <v>137</v>
      </c>
      <c r="S1" s="194" t="s">
        <v>138</v>
      </c>
      <c r="T1" s="195" t="s">
        <v>139</v>
      </c>
    </row>
    <row r="2" spans="1:20" ht="16" x14ac:dyDescent="0.4">
      <c r="B2" s="196" t="s">
        <v>140</v>
      </c>
      <c r="C2" s="197">
        <v>46147</v>
      </c>
      <c r="D2" s="196" t="s">
        <v>141</v>
      </c>
      <c r="E2" s="196"/>
      <c r="F2" s="196"/>
      <c r="G2" s="192" t="s">
        <v>142</v>
      </c>
      <c r="H2" s="198">
        <v>46154</v>
      </c>
      <c r="I2" s="192" t="s">
        <v>143</v>
      </c>
      <c r="J2" s="199">
        <v>46164</v>
      </c>
      <c r="K2" s="192" t="s">
        <v>144</v>
      </c>
      <c r="L2" s="192" t="s">
        <v>144</v>
      </c>
      <c r="M2" s="198"/>
      <c r="N2" s="200"/>
      <c r="O2" s="201"/>
      <c r="Q2" s="198"/>
      <c r="R2" s="198"/>
      <c r="S2" s="198"/>
    </row>
    <row r="3" spans="1:20" ht="16" x14ac:dyDescent="0.4">
      <c r="B3" s="196" t="s">
        <v>145</v>
      </c>
      <c r="C3" s="197">
        <v>46147</v>
      </c>
      <c r="D3" s="196" t="s">
        <v>141</v>
      </c>
      <c r="E3" s="196"/>
      <c r="F3" s="196"/>
      <c r="G3" s="192" t="s">
        <v>146</v>
      </c>
      <c r="H3" s="198">
        <v>46157</v>
      </c>
      <c r="I3" s="192" t="s">
        <v>147</v>
      </c>
      <c r="L3" s="192" t="s">
        <v>147</v>
      </c>
      <c r="M3" s="198"/>
      <c r="N3" s="200"/>
      <c r="O3" s="201"/>
    </row>
    <row r="4" spans="1:20" ht="16" x14ac:dyDescent="0.4">
      <c r="B4" s="196" t="s">
        <v>148</v>
      </c>
      <c r="C4" s="197">
        <v>46147</v>
      </c>
      <c r="D4" s="196" t="s">
        <v>141</v>
      </c>
      <c r="E4" s="196"/>
      <c r="F4" s="196"/>
      <c r="G4" s="192" t="s">
        <v>146</v>
      </c>
      <c r="H4" s="198">
        <v>46154</v>
      </c>
      <c r="I4" s="192" t="s">
        <v>147</v>
      </c>
      <c r="L4" s="192" t="s">
        <v>147</v>
      </c>
      <c r="M4" s="198"/>
      <c r="N4" s="200"/>
      <c r="O4" s="201"/>
    </row>
    <row r="5" spans="1:20" ht="16" x14ac:dyDescent="0.4">
      <c r="B5" s="196" t="s">
        <v>149</v>
      </c>
      <c r="C5" s="197">
        <v>46147</v>
      </c>
      <c r="D5" s="196" t="s">
        <v>141</v>
      </c>
      <c r="E5" s="196"/>
      <c r="F5" s="196"/>
      <c r="G5" s="192" t="s">
        <v>146</v>
      </c>
      <c r="H5" s="198">
        <v>46155</v>
      </c>
      <c r="I5" s="192" t="s">
        <v>143</v>
      </c>
      <c r="J5" s="199">
        <v>46157</v>
      </c>
      <c r="K5" s="192" t="s">
        <v>144</v>
      </c>
      <c r="L5" s="192" t="s">
        <v>144</v>
      </c>
      <c r="M5" s="198"/>
      <c r="N5" s="200"/>
      <c r="O5" s="201"/>
      <c r="Q5" s="198"/>
      <c r="R5" s="198"/>
      <c r="S5" s="198"/>
    </row>
    <row r="6" spans="1:20" ht="16" x14ac:dyDescent="0.4">
      <c r="B6" s="196" t="s">
        <v>150</v>
      </c>
      <c r="C6" s="197">
        <v>46147</v>
      </c>
      <c r="D6" s="196" t="s">
        <v>141</v>
      </c>
      <c r="E6" s="196"/>
      <c r="F6" s="196"/>
      <c r="G6" s="192" t="s">
        <v>151</v>
      </c>
      <c r="L6" s="192" t="s">
        <v>152</v>
      </c>
      <c r="M6" s="198"/>
      <c r="N6" s="200"/>
      <c r="O6" s="201"/>
    </row>
    <row r="7" spans="1:20" ht="16" x14ac:dyDescent="0.4">
      <c r="B7" s="196" t="s">
        <v>153</v>
      </c>
      <c r="C7" s="202">
        <v>46147</v>
      </c>
      <c r="D7" s="196" t="s">
        <v>154</v>
      </c>
      <c r="E7" s="196"/>
      <c r="F7" s="196"/>
      <c r="G7" s="192" t="s">
        <v>151</v>
      </c>
      <c r="L7" s="192" t="s">
        <v>152</v>
      </c>
      <c r="M7" s="198"/>
      <c r="N7" s="200"/>
      <c r="O7" s="201"/>
    </row>
    <row r="8" spans="1:20" ht="16" x14ac:dyDescent="0.4">
      <c r="B8" s="196" t="s">
        <v>155</v>
      </c>
      <c r="C8" s="202">
        <v>46147</v>
      </c>
      <c r="D8" s="196" t="s">
        <v>154</v>
      </c>
      <c r="E8" s="196"/>
      <c r="F8" s="196"/>
      <c r="G8" s="192" t="s">
        <v>151</v>
      </c>
      <c r="L8" s="192" t="s">
        <v>152</v>
      </c>
      <c r="M8" s="198"/>
      <c r="N8" s="200"/>
      <c r="O8" s="201"/>
      <c r="Q8" s="198"/>
      <c r="R8" s="198"/>
      <c r="S8" s="198"/>
      <c r="T8" s="203"/>
    </row>
    <row r="9" spans="1:20" ht="16" x14ac:dyDescent="0.4">
      <c r="B9" s="196" t="s">
        <v>156</v>
      </c>
      <c r="C9" s="202">
        <v>46147</v>
      </c>
      <c r="D9" s="196" t="s">
        <v>154</v>
      </c>
      <c r="E9" s="196"/>
      <c r="F9" s="196"/>
      <c r="G9" s="192" t="s">
        <v>151</v>
      </c>
      <c r="L9" s="192" t="s">
        <v>152</v>
      </c>
      <c r="M9" s="198"/>
      <c r="N9" s="200"/>
      <c r="O9" s="201"/>
    </row>
    <row r="10" spans="1:20" ht="32" x14ac:dyDescent="0.4">
      <c r="B10" s="196" t="s">
        <v>157</v>
      </c>
      <c r="C10" s="202">
        <v>46147</v>
      </c>
      <c r="D10" s="196" t="s">
        <v>154</v>
      </c>
      <c r="E10" s="196" t="s">
        <v>158</v>
      </c>
      <c r="F10" s="196" t="s">
        <v>159</v>
      </c>
      <c r="G10" s="192" t="s">
        <v>142</v>
      </c>
      <c r="H10" s="198">
        <v>46165</v>
      </c>
      <c r="I10" s="192" t="s">
        <v>143</v>
      </c>
      <c r="J10" s="199">
        <v>46165</v>
      </c>
      <c r="K10" s="192" t="s">
        <v>160</v>
      </c>
      <c r="L10" s="192" t="s">
        <v>161</v>
      </c>
      <c r="M10" s="198"/>
      <c r="N10" s="225" t="s">
        <v>162</v>
      </c>
      <c r="O10" s="199">
        <v>46185</v>
      </c>
    </row>
    <row r="11" spans="1:20" ht="16" x14ac:dyDescent="0.4">
      <c r="B11" s="196" t="s">
        <v>163</v>
      </c>
      <c r="C11" s="202">
        <v>46147</v>
      </c>
      <c r="D11" s="196" t="s">
        <v>154</v>
      </c>
      <c r="E11" s="196"/>
      <c r="F11" s="196"/>
      <c r="G11" s="192" t="s">
        <v>151</v>
      </c>
      <c r="L11" s="192" t="s">
        <v>152</v>
      </c>
      <c r="M11" s="198"/>
      <c r="N11" s="200"/>
      <c r="O11" s="201"/>
    </row>
    <row r="12" spans="1:20" ht="16" x14ac:dyDescent="0.4">
      <c r="B12" s="196" t="s">
        <v>164</v>
      </c>
      <c r="C12" s="202">
        <v>46147</v>
      </c>
      <c r="D12" s="196" t="s">
        <v>165</v>
      </c>
      <c r="E12" s="196"/>
      <c r="F12" s="196"/>
      <c r="G12" s="192" t="s">
        <v>151</v>
      </c>
      <c r="L12" s="192" t="s">
        <v>152</v>
      </c>
      <c r="M12" s="198"/>
      <c r="N12" s="200"/>
      <c r="O12" s="201"/>
    </row>
    <row r="13" spans="1:20" ht="16" x14ac:dyDescent="0.4">
      <c r="B13" s="196" t="s">
        <v>166</v>
      </c>
      <c r="C13" s="202">
        <v>46147</v>
      </c>
      <c r="D13" s="196" t="s">
        <v>165</v>
      </c>
      <c r="E13" s="196" t="s">
        <v>167</v>
      </c>
      <c r="F13" s="196" t="s">
        <v>168</v>
      </c>
      <c r="G13" s="192" t="s">
        <v>142</v>
      </c>
      <c r="H13" s="198">
        <v>46165</v>
      </c>
      <c r="I13" s="192" t="s">
        <v>143</v>
      </c>
      <c r="J13" s="199">
        <v>46165</v>
      </c>
      <c r="K13" s="192" t="s">
        <v>160</v>
      </c>
      <c r="L13" s="192" t="s">
        <v>160</v>
      </c>
      <c r="M13" s="198"/>
      <c r="N13" s="200"/>
      <c r="O13" s="201"/>
    </row>
    <row r="14" spans="1:20" ht="16" x14ac:dyDescent="0.4">
      <c r="B14" s="196" t="s">
        <v>169</v>
      </c>
      <c r="C14" s="202">
        <v>46147</v>
      </c>
      <c r="D14" s="196" t="s">
        <v>165</v>
      </c>
      <c r="E14" s="196"/>
      <c r="F14" s="196"/>
      <c r="G14" s="192" t="s">
        <v>146</v>
      </c>
      <c r="H14" s="198">
        <v>46154</v>
      </c>
      <c r="I14" s="192" t="s">
        <v>147</v>
      </c>
      <c r="L14" s="192" t="s">
        <v>147</v>
      </c>
      <c r="M14" s="198"/>
      <c r="N14" s="200"/>
      <c r="O14" s="201"/>
    </row>
    <row r="15" spans="1:20" ht="16" x14ac:dyDescent="0.4">
      <c r="B15" s="196" t="s">
        <v>170</v>
      </c>
      <c r="C15" s="202">
        <v>46147</v>
      </c>
      <c r="D15" s="196" t="s">
        <v>165</v>
      </c>
      <c r="E15" s="196"/>
      <c r="F15" s="196"/>
      <c r="G15" s="192" t="s">
        <v>151</v>
      </c>
      <c r="L15" s="192" t="s">
        <v>152</v>
      </c>
      <c r="M15" s="198"/>
      <c r="N15" s="200"/>
      <c r="O15" s="201"/>
    </row>
    <row r="16" spans="1:20" ht="16" x14ac:dyDescent="0.4">
      <c r="B16" s="196" t="s">
        <v>171</v>
      </c>
      <c r="C16" s="202">
        <v>46147</v>
      </c>
      <c r="D16" s="196" t="s">
        <v>165</v>
      </c>
      <c r="E16" s="196"/>
      <c r="F16" s="196"/>
      <c r="G16" s="192" t="s">
        <v>151</v>
      </c>
      <c r="L16" s="192" t="s">
        <v>152</v>
      </c>
      <c r="M16" s="198"/>
      <c r="N16" s="200"/>
      <c r="O16" s="201"/>
    </row>
    <row r="17" spans="2:15" ht="16" x14ac:dyDescent="0.4">
      <c r="B17" s="196" t="s">
        <v>172</v>
      </c>
      <c r="C17" s="204">
        <v>46178</v>
      </c>
      <c r="D17" s="196" t="s">
        <v>173</v>
      </c>
      <c r="E17" s="196"/>
      <c r="F17" s="196"/>
      <c r="G17" s="192" t="s">
        <v>151</v>
      </c>
      <c r="L17" s="192" t="s">
        <v>152</v>
      </c>
      <c r="M17" s="198"/>
      <c r="N17" s="200"/>
      <c r="O17" s="201"/>
    </row>
    <row r="18" spans="2:15" ht="16" x14ac:dyDescent="0.4">
      <c r="B18" s="196" t="s">
        <v>174</v>
      </c>
      <c r="C18" s="204">
        <v>46178</v>
      </c>
      <c r="D18" s="196" t="s">
        <v>173</v>
      </c>
      <c r="E18" s="196"/>
      <c r="F18" s="196"/>
      <c r="G18" s="192" t="s">
        <v>151</v>
      </c>
      <c r="L18" s="192" t="s">
        <v>152</v>
      </c>
      <c r="M18" s="198"/>
      <c r="N18" s="200"/>
      <c r="O18" s="201"/>
    </row>
    <row r="19" spans="2:15" ht="16" x14ac:dyDescent="0.4">
      <c r="B19" s="196" t="s">
        <v>175</v>
      </c>
      <c r="C19" s="204">
        <v>46178</v>
      </c>
      <c r="D19" s="196" t="s">
        <v>173</v>
      </c>
      <c r="E19" s="196"/>
      <c r="F19" s="196"/>
      <c r="G19" s="192" t="s">
        <v>151</v>
      </c>
      <c r="L19" s="192" t="s">
        <v>152</v>
      </c>
      <c r="M19" s="198"/>
      <c r="N19" s="200"/>
      <c r="O19" s="201"/>
    </row>
    <row r="20" spans="2:15" ht="16" x14ac:dyDescent="0.4">
      <c r="B20" s="196" t="s">
        <v>176</v>
      </c>
      <c r="C20" s="204">
        <v>46178</v>
      </c>
      <c r="D20" s="196" t="s">
        <v>173</v>
      </c>
      <c r="E20" s="196"/>
      <c r="F20" s="196"/>
      <c r="G20" s="192" t="s">
        <v>151</v>
      </c>
      <c r="L20" s="192" t="s">
        <v>152</v>
      </c>
      <c r="M20" s="198"/>
      <c r="N20" s="200"/>
      <c r="O20" s="201"/>
    </row>
    <row r="21" spans="2:15" ht="16" x14ac:dyDescent="0.4">
      <c r="B21" s="196" t="s">
        <v>177</v>
      </c>
      <c r="C21" s="204">
        <v>46178</v>
      </c>
      <c r="D21" s="196" t="s">
        <v>173</v>
      </c>
      <c r="E21" s="196"/>
      <c r="F21" s="196"/>
      <c r="G21" s="192" t="s">
        <v>151</v>
      </c>
      <c r="L21" s="192" t="s">
        <v>152</v>
      </c>
      <c r="M21" s="198"/>
      <c r="N21" s="200"/>
      <c r="O21" s="201"/>
    </row>
    <row r="22" spans="2:15" ht="16" x14ac:dyDescent="0.4">
      <c r="B22" s="196" t="s">
        <v>178</v>
      </c>
      <c r="C22" s="205">
        <v>46148</v>
      </c>
      <c r="D22" s="196" t="s">
        <v>154</v>
      </c>
      <c r="E22" s="196"/>
      <c r="F22" s="196"/>
      <c r="G22" s="192" t="s">
        <v>146</v>
      </c>
      <c r="H22" s="198">
        <v>46150</v>
      </c>
      <c r="I22" s="192" t="s">
        <v>147</v>
      </c>
      <c r="L22" s="192" t="s">
        <v>147</v>
      </c>
      <c r="M22" s="198"/>
      <c r="N22" s="200"/>
      <c r="O22" s="201"/>
    </row>
    <row r="23" spans="2:15" ht="16" x14ac:dyDescent="0.4">
      <c r="B23" s="196" t="s">
        <v>179</v>
      </c>
      <c r="C23" s="205">
        <v>46148</v>
      </c>
      <c r="D23" s="196" t="s">
        <v>165</v>
      </c>
      <c r="E23" s="196" t="s">
        <v>180</v>
      </c>
      <c r="F23" s="196" t="s">
        <v>181</v>
      </c>
      <c r="G23" s="192" t="s">
        <v>142</v>
      </c>
      <c r="H23" s="198">
        <v>46153</v>
      </c>
      <c r="I23" s="192" t="s">
        <v>143</v>
      </c>
      <c r="J23" s="199">
        <v>46156</v>
      </c>
      <c r="K23" s="192" t="s">
        <v>160</v>
      </c>
      <c r="L23" s="192" t="s">
        <v>160</v>
      </c>
      <c r="M23" s="198"/>
      <c r="N23" s="200"/>
      <c r="O23" s="201"/>
    </row>
    <row r="24" spans="2:15" ht="16" x14ac:dyDescent="0.4">
      <c r="B24" s="196" t="s">
        <v>182</v>
      </c>
      <c r="C24" s="205">
        <v>46148</v>
      </c>
      <c r="D24" s="196" t="s">
        <v>165</v>
      </c>
      <c r="E24" s="196" t="s">
        <v>180</v>
      </c>
      <c r="F24" s="196" t="s">
        <v>183</v>
      </c>
      <c r="G24" s="192" t="s">
        <v>142</v>
      </c>
      <c r="H24" s="198">
        <v>46154</v>
      </c>
      <c r="I24" s="192" t="s">
        <v>143</v>
      </c>
      <c r="J24" s="199">
        <v>46164</v>
      </c>
      <c r="K24" s="192" t="s">
        <v>160</v>
      </c>
      <c r="L24" s="192" t="s">
        <v>184</v>
      </c>
      <c r="M24" s="198"/>
      <c r="N24" s="200"/>
      <c r="O24" s="201"/>
    </row>
    <row r="25" spans="2:15" ht="16" x14ac:dyDescent="0.4">
      <c r="B25" s="196" t="s">
        <v>185</v>
      </c>
      <c r="C25" s="205">
        <v>46148</v>
      </c>
      <c r="D25" s="196" t="s">
        <v>165</v>
      </c>
      <c r="E25" s="196"/>
      <c r="F25" s="196"/>
      <c r="G25" s="192" t="s">
        <v>146</v>
      </c>
      <c r="H25" s="198">
        <v>46155</v>
      </c>
      <c r="I25" s="192" t="s">
        <v>143</v>
      </c>
      <c r="J25" s="199">
        <v>46160</v>
      </c>
      <c r="K25" s="192" t="s">
        <v>144</v>
      </c>
      <c r="L25" s="192" t="s">
        <v>144</v>
      </c>
      <c r="M25" s="198"/>
      <c r="N25" s="200"/>
      <c r="O25" s="201"/>
    </row>
    <row r="26" spans="2:15" ht="16" x14ac:dyDescent="0.4">
      <c r="B26" s="196" t="s">
        <v>186</v>
      </c>
      <c r="C26" s="205">
        <v>46148</v>
      </c>
      <c r="D26" s="196" t="s">
        <v>165</v>
      </c>
      <c r="E26" s="196"/>
      <c r="F26" s="196"/>
      <c r="G26" s="192" t="s">
        <v>146</v>
      </c>
      <c r="H26" s="198">
        <v>46153</v>
      </c>
      <c r="I26" s="192" t="s">
        <v>147</v>
      </c>
      <c r="L26" s="192" t="s">
        <v>147</v>
      </c>
      <c r="M26" s="198"/>
      <c r="N26" s="200"/>
      <c r="O26" s="201"/>
    </row>
    <row r="27" spans="2:15" ht="16" x14ac:dyDescent="0.4">
      <c r="B27" s="196" t="s">
        <v>187</v>
      </c>
      <c r="C27" s="205">
        <v>46148</v>
      </c>
      <c r="D27" s="196" t="s">
        <v>75</v>
      </c>
      <c r="E27" s="196" t="s">
        <v>188</v>
      </c>
      <c r="F27" s="196" t="s">
        <v>189</v>
      </c>
      <c r="G27" s="192" t="s">
        <v>142</v>
      </c>
      <c r="H27" s="198">
        <v>46164</v>
      </c>
      <c r="I27" s="192" t="s">
        <v>143</v>
      </c>
      <c r="J27" s="199">
        <v>46171</v>
      </c>
      <c r="K27" s="192" t="s">
        <v>160</v>
      </c>
      <c r="L27" s="192" t="s">
        <v>161</v>
      </c>
      <c r="M27" s="198"/>
      <c r="N27" s="224" t="s">
        <v>190</v>
      </c>
      <c r="O27" s="199">
        <v>46188</v>
      </c>
    </row>
    <row r="28" spans="2:15" ht="16" x14ac:dyDescent="0.4">
      <c r="B28" s="196" t="s">
        <v>191</v>
      </c>
      <c r="C28" s="205">
        <v>46148</v>
      </c>
      <c r="D28" s="196" t="s">
        <v>141</v>
      </c>
      <c r="E28" s="196"/>
      <c r="F28" s="196"/>
      <c r="G28" s="192" t="s">
        <v>151</v>
      </c>
      <c r="L28" s="192" t="s">
        <v>152</v>
      </c>
      <c r="M28" s="198"/>
      <c r="N28" s="200"/>
      <c r="O28" s="201"/>
    </row>
    <row r="29" spans="2:15" ht="16" x14ac:dyDescent="0.4">
      <c r="B29" s="196" t="s">
        <v>192</v>
      </c>
      <c r="C29" s="205">
        <v>46148</v>
      </c>
      <c r="D29" s="196" t="s">
        <v>173</v>
      </c>
      <c r="E29" s="196"/>
      <c r="F29" s="196"/>
      <c r="G29" s="192" t="s">
        <v>146</v>
      </c>
      <c r="H29" s="198">
        <v>46151</v>
      </c>
      <c r="I29" s="192" t="s">
        <v>147</v>
      </c>
      <c r="L29" s="192" t="s">
        <v>147</v>
      </c>
      <c r="M29" s="198"/>
      <c r="N29" s="200"/>
      <c r="O29" s="201"/>
    </row>
    <row r="30" spans="2:15" ht="16" x14ac:dyDescent="0.4">
      <c r="B30" s="196" t="s">
        <v>193</v>
      </c>
      <c r="C30" s="205">
        <v>46148</v>
      </c>
      <c r="D30" s="196" t="s">
        <v>173</v>
      </c>
      <c r="E30" s="196"/>
      <c r="F30" s="196"/>
      <c r="G30" s="192" t="s">
        <v>146</v>
      </c>
      <c r="H30" s="198">
        <v>46151</v>
      </c>
      <c r="I30" s="192" t="s">
        <v>147</v>
      </c>
      <c r="L30" s="192" t="s">
        <v>147</v>
      </c>
      <c r="M30" s="198"/>
      <c r="N30" s="200"/>
      <c r="O30" s="201"/>
    </row>
    <row r="31" spans="2:15" ht="16" x14ac:dyDescent="0.4">
      <c r="B31" s="196" t="s">
        <v>194</v>
      </c>
      <c r="C31" s="205">
        <v>46148</v>
      </c>
      <c r="D31" s="196" t="s">
        <v>141</v>
      </c>
      <c r="E31" s="196" t="s">
        <v>180</v>
      </c>
      <c r="F31" s="196" t="s">
        <v>195</v>
      </c>
      <c r="G31" s="192" t="s">
        <v>142</v>
      </c>
      <c r="H31" s="198">
        <v>46156</v>
      </c>
      <c r="I31" s="192" t="s">
        <v>143</v>
      </c>
      <c r="J31" s="199">
        <v>46157</v>
      </c>
      <c r="K31" s="192" t="s">
        <v>160</v>
      </c>
      <c r="L31" s="192" t="s">
        <v>184</v>
      </c>
      <c r="M31" s="198"/>
      <c r="N31" s="200"/>
      <c r="O31" s="201"/>
    </row>
    <row r="32" spans="2:15" ht="16" x14ac:dyDescent="0.4">
      <c r="B32" s="196" t="s">
        <v>196</v>
      </c>
      <c r="C32" s="205">
        <v>46148</v>
      </c>
      <c r="D32" s="196" t="s">
        <v>141</v>
      </c>
      <c r="E32" s="196"/>
      <c r="F32" s="196"/>
      <c r="G32" s="192" t="s">
        <v>151</v>
      </c>
      <c r="L32" s="192" t="s">
        <v>152</v>
      </c>
      <c r="M32" s="198"/>
      <c r="N32" s="200"/>
      <c r="O32" s="201"/>
    </row>
    <row r="33" spans="2:19" ht="16" x14ac:dyDescent="0.4">
      <c r="B33" s="196" t="s">
        <v>197</v>
      </c>
      <c r="C33" s="205">
        <v>46148</v>
      </c>
      <c r="D33" s="196" t="s">
        <v>141</v>
      </c>
      <c r="E33" s="196"/>
      <c r="F33" s="196"/>
      <c r="G33" s="192" t="s">
        <v>151</v>
      </c>
      <c r="L33" s="192" t="s">
        <v>152</v>
      </c>
      <c r="M33" s="198"/>
      <c r="N33" s="200"/>
      <c r="O33" s="201"/>
    </row>
    <row r="34" spans="2:19" ht="16" x14ac:dyDescent="0.4">
      <c r="B34" s="196" t="s">
        <v>198</v>
      </c>
      <c r="C34" s="205">
        <v>46148</v>
      </c>
      <c r="D34" s="196" t="s">
        <v>141</v>
      </c>
      <c r="E34" s="196"/>
      <c r="F34" s="196"/>
      <c r="G34" s="192" t="s">
        <v>151</v>
      </c>
      <c r="L34" s="192" t="s">
        <v>152</v>
      </c>
      <c r="M34" s="198"/>
      <c r="N34" s="200"/>
      <c r="O34" s="201"/>
    </row>
    <row r="35" spans="2:19" ht="16" x14ac:dyDescent="0.4">
      <c r="B35" s="196" t="s">
        <v>199</v>
      </c>
      <c r="C35" s="205">
        <v>46148</v>
      </c>
      <c r="D35" s="196" t="s">
        <v>173</v>
      </c>
      <c r="E35" s="196"/>
      <c r="F35" s="196"/>
      <c r="G35" s="192" t="s">
        <v>151</v>
      </c>
      <c r="L35" s="192" t="s">
        <v>152</v>
      </c>
      <c r="M35" s="198"/>
      <c r="N35" s="200"/>
      <c r="O35" s="201"/>
      <c r="Q35" s="198"/>
      <c r="S35" s="198"/>
    </row>
    <row r="36" spans="2:19" ht="16" x14ac:dyDescent="0.4">
      <c r="B36" s="196" t="s">
        <v>200</v>
      </c>
      <c r="C36" s="205">
        <v>46148</v>
      </c>
      <c r="D36" s="196" t="s">
        <v>173</v>
      </c>
      <c r="E36" s="196"/>
      <c r="F36" s="196"/>
      <c r="G36" s="192" t="s">
        <v>151</v>
      </c>
      <c r="L36" s="192" t="s">
        <v>152</v>
      </c>
      <c r="M36" s="198"/>
      <c r="N36" s="200"/>
      <c r="O36" s="201"/>
    </row>
    <row r="37" spans="2:19" ht="16" x14ac:dyDescent="0.4">
      <c r="B37" s="196" t="s">
        <v>201</v>
      </c>
      <c r="C37" s="205">
        <v>46148</v>
      </c>
      <c r="D37" s="196" t="s">
        <v>165</v>
      </c>
      <c r="E37" s="196"/>
      <c r="F37" s="196"/>
      <c r="G37" s="192" t="s">
        <v>151</v>
      </c>
      <c r="L37" s="192" t="s">
        <v>152</v>
      </c>
      <c r="M37" s="198"/>
      <c r="N37" s="200"/>
      <c r="O37" s="201"/>
    </row>
    <row r="38" spans="2:19" ht="16" x14ac:dyDescent="0.4">
      <c r="B38" s="196" t="s">
        <v>202</v>
      </c>
      <c r="C38" s="205">
        <v>46148</v>
      </c>
      <c r="D38" s="196" t="s">
        <v>154</v>
      </c>
      <c r="E38" s="196"/>
      <c r="F38" s="196"/>
      <c r="G38" s="192" t="s">
        <v>146</v>
      </c>
      <c r="H38" s="198">
        <v>46150</v>
      </c>
      <c r="I38" s="192" t="s">
        <v>147</v>
      </c>
      <c r="L38" s="192" t="s">
        <v>147</v>
      </c>
      <c r="M38" s="198"/>
      <c r="N38" s="200"/>
      <c r="O38" s="201"/>
    </row>
    <row r="39" spans="2:19" ht="16" x14ac:dyDescent="0.4">
      <c r="B39" s="196" t="s">
        <v>203</v>
      </c>
      <c r="C39" s="205">
        <v>46148</v>
      </c>
      <c r="D39" s="196" t="s">
        <v>141</v>
      </c>
      <c r="E39" s="196"/>
      <c r="F39" s="196"/>
      <c r="G39" s="192" t="s">
        <v>151</v>
      </c>
      <c r="L39" s="192" t="s">
        <v>152</v>
      </c>
      <c r="M39" s="198"/>
      <c r="N39" s="200"/>
      <c r="O39" s="201"/>
    </row>
    <row r="40" spans="2:19" ht="16" x14ac:dyDescent="0.4">
      <c r="B40" s="196" t="s">
        <v>204</v>
      </c>
      <c r="C40" s="205">
        <v>46148</v>
      </c>
      <c r="D40" s="196" t="s">
        <v>141</v>
      </c>
      <c r="E40" s="196"/>
      <c r="F40" s="196"/>
      <c r="G40" s="192" t="s">
        <v>151</v>
      </c>
      <c r="L40" s="192" t="s">
        <v>152</v>
      </c>
      <c r="M40" s="198"/>
      <c r="N40" s="200"/>
      <c r="O40" s="201"/>
    </row>
    <row r="41" spans="2:19" ht="16" x14ac:dyDescent="0.4">
      <c r="B41" s="196" t="s">
        <v>205</v>
      </c>
      <c r="C41" s="205">
        <v>46148</v>
      </c>
      <c r="D41" s="196" t="s">
        <v>141</v>
      </c>
      <c r="E41" s="196" t="s">
        <v>180</v>
      </c>
      <c r="F41" s="196" t="s">
        <v>181</v>
      </c>
      <c r="G41" s="192" t="s">
        <v>142</v>
      </c>
      <c r="H41" s="198">
        <v>46156</v>
      </c>
      <c r="I41" s="192" t="s">
        <v>143</v>
      </c>
      <c r="J41" s="199">
        <v>46164</v>
      </c>
      <c r="K41" s="192" t="s">
        <v>160</v>
      </c>
      <c r="L41" s="192" t="s">
        <v>184</v>
      </c>
      <c r="M41" s="198"/>
      <c r="N41" s="200"/>
      <c r="O41" s="201"/>
    </row>
    <row r="42" spans="2:19" ht="16" x14ac:dyDescent="0.4">
      <c r="B42" s="196" t="s">
        <v>206</v>
      </c>
      <c r="C42" s="205">
        <v>46148</v>
      </c>
      <c r="D42" s="196" t="s">
        <v>165</v>
      </c>
      <c r="E42" s="196"/>
      <c r="F42" s="196"/>
      <c r="G42" s="192" t="s">
        <v>146</v>
      </c>
      <c r="H42" s="198">
        <v>46155</v>
      </c>
      <c r="I42" s="192" t="s">
        <v>143</v>
      </c>
      <c r="J42" s="199">
        <v>46156</v>
      </c>
      <c r="K42" s="192" t="s">
        <v>144</v>
      </c>
      <c r="L42" s="192" t="s">
        <v>144</v>
      </c>
      <c r="M42" s="198"/>
      <c r="N42" s="200"/>
      <c r="O42" s="201"/>
    </row>
    <row r="43" spans="2:19" ht="16" x14ac:dyDescent="0.4">
      <c r="B43" s="196" t="s">
        <v>207</v>
      </c>
      <c r="C43" s="205">
        <v>46148</v>
      </c>
      <c r="D43" s="196" t="s">
        <v>154</v>
      </c>
      <c r="E43" s="196" t="s">
        <v>158</v>
      </c>
      <c r="F43" s="196" t="s">
        <v>181</v>
      </c>
      <c r="G43" s="192" t="s">
        <v>142</v>
      </c>
      <c r="H43" s="198">
        <v>46165</v>
      </c>
      <c r="I43" s="192" t="s">
        <v>143</v>
      </c>
      <c r="J43" s="199">
        <v>46165</v>
      </c>
      <c r="K43" s="192" t="s">
        <v>160</v>
      </c>
      <c r="L43" s="192" t="s">
        <v>184</v>
      </c>
      <c r="M43" s="198"/>
      <c r="N43" s="224" t="s">
        <v>208</v>
      </c>
      <c r="O43" s="198">
        <v>46192</v>
      </c>
    </row>
    <row r="44" spans="2:19" ht="16" x14ac:dyDescent="0.4">
      <c r="B44" s="196" t="s">
        <v>209</v>
      </c>
      <c r="C44" s="206">
        <v>46208</v>
      </c>
      <c r="D44" s="196" t="s">
        <v>173</v>
      </c>
      <c r="E44" s="196"/>
      <c r="F44" s="196"/>
      <c r="G44" s="192" t="s">
        <v>151</v>
      </c>
      <c r="L44" s="192" t="s">
        <v>152</v>
      </c>
      <c r="M44" s="198"/>
      <c r="N44" s="200"/>
      <c r="O44" s="201"/>
    </row>
    <row r="45" spans="2:19" ht="16" x14ac:dyDescent="0.4">
      <c r="B45" s="196" t="s">
        <v>210</v>
      </c>
      <c r="C45" s="206">
        <v>46208</v>
      </c>
      <c r="D45" s="196" t="s">
        <v>173</v>
      </c>
      <c r="E45" s="196"/>
      <c r="F45" s="196"/>
      <c r="G45" s="192" t="s">
        <v>151</v>
      </c>
      <c r="L45" s="192" t="s">
        <v>152</v>
      </c>
      <c r="M45" s="198"/>
      <c r="N45" s="200"/>
      <c r="O45" s="201"/>
    </row>
    <row r="46" spans="2:19" ht="16" x14ac:dyDescent="0.4">
      <c r="B46" s="196" t="s">
        <v>211</v>
      </c>
      <c r="C46" s="206">
        <v>46208</v>
      </c>
      <c r="D46" s="196" t="s">
        <v>173</v>
      </c>
      <c r="E46" s="196"/>
      <c r="F46" s="196"/>
      <c r="G46" s="192" t="s">
        <v>151</v>
      </c>
      <c r="L46" s="192" t="s">
        <v>152</v>
      </c>
      <c r="M46" s="198"/>
      <c r="N46" s="200"/>
      <c r="O46" s="201"/>
    </row>
    <row r="47" spans="2:19" ht="16" x14ac:dyDescent="0.4">
      <c r="B47" s="196" t="s">
        <v>212</v>
      </c>
      <c r="C47" s="206">
        <v>46208</v>
      </c>
      <c r="D47" s="196" t="s">
        <v>173</v>
      </c>
      <c r="E47" s="196"/>
      <c r="F47" s="196"/>
      <c r="G47" s="192" t="s">
        <v>151</v>
      </c>
      <c r="L47" s="192" t="s">
        <v>152</v>
      </c>
      <c r="M47" s="198"/>
      <c r="N47" s="200"/>
      <c r="O47" s="201"/>
    </row>
    <row r="48" spans="2:19" ht="16" x14ac:dyDescent="0.4">
      <c r="B48" s="196" t="s">
        <v>213</v>
      </c>
      <c r="C48" s="206">
        <v>46208</v>
      </c>
      <c r="D48" s="196" t="s">
        <v>173</v>
      </c>
      <c r="E48" s="196"/>
      <c r="F48" s="196"/>
      <c r="G48" s="192" t="s">
        <v>151</v>
      </c>
      <c r="L48" s="192" t="s">
        <v>152</v>
      </c>
      <c r="M48" s="198"/>
      <c r="N48" s="200"/>
      <c r="O48" s="201"/>
    </row>
    <row r="49" spans="2:15" ht="16" x14ac:dyDescent="0.4">
      <c r="B49" s="196" t="s">
        <v>214</v>
      </c>
      <c r="C49" s="207">
        <v>46149</v>
      </c>
      <c r="D49" s="196" t="s">
        <v>173</v>
      </c>
      <c r="E49" s="196"/>
      <c r="F49" s="196"/>
      <c r="G49" s="192" t="s">
        <v>151</v>
      </c>
      <c r="L49" s="192" t="s">
        <v>152</v>
      </c>
      <c r="M49" s="198"/>
      <c r="N49" s="200"/>
      <c r="O49" s="201"/>
    </row>
    <row r="50" spans="2:15" ht="16" x14ac:dyDescent="0.4">
      <c r="B50" s="196" t="s">
        <v>215</v>
      </c>
      <c r="C50" s="207">
        <v>46149</v>
      </c>
      <c r="D50" s="196" t="s">
        <v>154</v>
      </c>
      <c r="E50" s="196" t="s">
        <v>180</v>
      </c>
      <c r="F50" s="196" t="s">
        <v>216</v>
      </c>
      <c r="G50" s="192" t="s">
        <v>142</v>
      </c>
      <c r="H50" s="198">
        <v>46154</v>
      </c>
      <c r="I50" s="192" t="s">
        <v>143</v>
      </c>
      <c r="J50" s="199">
        <v>46161</v>
      </c>
      <c r="K50" s="192" t="s">
        <v>160</v>
      </c>
      <c r="L50" s="192" t="s">
        <v>184</v>
      </c>
      <c r="M50" s="198"/>
      <c r="N50" s="200"/>
      <c r="O50" s="201"/>
    </row>
    <row r="51" spans="2:15" ht="16" x14ac:dyDescent="0.4">
      <c r="B51" s="196" t="s">
        <v>217</v>
      </c>
      <c r="C51" s="207">
        <v>46149</v>
      </c>
      <c r="D51" s="196" t="s">
        <v>154</v>
      </c>
      <c r="E51" s="196"/>
      <c r="F51" s="196"/>
      <c r="G51" s="192" t="s">
        <v>151</v>
      </c>
      <c r="L51" s="192" t="s">
        <v>152</v>
      </c>
      <c r="M51" s="198"/>
      <c r="N51" s="200"/>
      <c r="O51" s="201"/>
    </row>
    <row r="52" spans="2:15" ht="16" x14ac:dyDescent="0.4">
      <c r="B52" s="196" t="s">
        <v>218</v>
      </c>
      <c r="C52" s="207">
        <v>46149</v>
      </c>
      <c r="D52" s="196" t="s">
        <v>154</v>
      </c>
      <c r="E52" s="196"/>
      <c r="F52" s="196"/>
      <c r="G52" s="192" t="s">
        <v>151</v>
      </c>
      <c r="L52" s="192" t="s">
        <v>152</v>
      </c>
      <c r="M52" s="198"/>
      <c r="N52" s="200"/>
      <c r="O52" s="201"/>
    </row>
    <row r="53" spans="2:15" ht="16" x14ac:dyDescent="0.4">
      <c r="B53" s="196" t="s">
        <v>219</v>
      </c>
      <c r="C53" s="207">
        <v>46149</v>
      </c>
      <c r="D53" s="196" t="s">
        <v>165</v>
      </c>
      <c r="E53" s="196"/>
      <c r="F53" s="196"/>
      <c r="G53" s="192" t="s">
        <v>151</v>
      </c>
      <c r="L53" s="192" t="s">
        <v>152</v>
      </c>
      <c r="M53" s="198"/>
      <c r="N53" s="200"/>
      <c r="O53" s="201"/>
    </row>
    <row r="54" spans="2:15" ht="16" x14ac:dyDescent="0.4">
      <c r="B54" s="196" t="s">
        <v>220</v>
      </c>
      <c r="C54" s="207">
        <v>46149</v>
      </c>
      <c r="D54" s="196" t="s">
        <v>165</v>
      </c>
      <c r="E54" s="196"/>
      <c r="F54" s="196"/>
      <c r="G54" s="192" t="s">
        <v>146</v>
      </c>
      <c r="H54" s="198">
        <v>46178</v>
      </c>
      <c r="I54" s="192" t="s">
        <v>147</v>
      </c>
      <c r="L54" s="192" t="s">
        <v>147</v>
      </c>
      <c r="M54" s="198"/>
      <c r="N54" s="200"/>
      <c r="O54" s="201"/>
    </row>
    <row r="55" spans="2:15" ht="16" x14ac:dyDescent="0.4">
      <c r="B55" s="196" t="s">
        <v>221</v>
      </c>
      <c r="C55" s="207">
        <v>46149</v>
      </c>
      <c r="D55" s="196" t="s">
        <v>154</v>
      </c>
      <c r="E55" s="196"/>
      <c r="F55" s="196"/>
      <c r="G55" s="192" t="s">
        <v>151</v>
      </c>
      <c r="H55" s="198">
        <v>46155</v>
      </c>
      <c r="L55" s="192" t="s">
        <v>152</v>
      </c>
      <c r="M55" s="198"/>
      <c r="N55" s="200"/>
      <c r="O55" s="201"/>
    </row>
    <row r="56" spans="2:15" ht="16" x14ac:dyDescent="0.4">
      <c r="B56" s="196" t="s">
        <v>222</v>
      </c>
      <c r="C56" s="207">
        <v>46149</v>
      </c>
      <c r="D56" s="196" t="s">
        <v>154</v>
      </c>
      <c r="E56" s="196"/>
      <c r="F56" s="196"/>
      <c r="G56" s="192" t="s">
        <v>151</v>
      </c>
      <c r="L56" s="192" t="s">
        <v>152</v>
      </c>
      <c r="M56" s="198"/>
      <c r="N56" s="200"/>
      <c r="O56" s="201"/>
    </row>
    <row r="57" spans="2:15" ht="16" x14ac:dyDescent="0.4">
      <c r="B57" s="196" t="s">
        <v>223</v>
      </c>
      <c r="C57" s="207">
        <v>46149</v>
      </c>
      <c r="D57" s="196" t="s">
        <v>154</v>
      </c>
      <c r="E57" s="196" t="s">
        <v>180</v>
      </c>
      <c r="F57" s="196" t="s">
        <v>159</v>
      </c>
      <c r="G57" s="192" t="s">
        <v>142</v>
      </c>
      <c r="H57" s="198">
        <v>46153</v>
      </c>
      <c r="I57" s="192" t="s">
        <v>143</v>
      </c>
      <c r="J57" s="199">
        <v>46156</v>
      </c>
      <c r="K57" s="192" t="s">
        <v>160</v>
      </c>
      <c r="L57" s="192" t="s">
        <v>160</v>
      </c>
      <c r="M57" s="198"/>
      <c r="N57" s="200"/>
      <c r="O57" s="201"/>
    </row>
    <row r="58" spans="2:15" ht="16" x14ac:dyDescent="0.4">
      <c r="B58" s="196" t="s">
        <v>224</v>
      </c>
      <c r="C58" s="207">
        <v>46149</v>
      </c>
      <c r="D58" s="196" t="s">
        <v>154</v>
      </c>
      <c r="E58" s="196"/>
      <c r="F58" s="196"/>
      <c r="G58" s="192" t="s">
        <v>151</v>
      </c>
      <c r="L58" s="192" t="s">
        <v>152</v>
      </c>
      <c r="M58" s="198"/>
      <c r="N58" s="200"/>
      <c r="O58" s="201"/>
    </row>
    <row r="59" spans="2:15" ht="16" x14ac:dyDescent="0.4">
      <c r="B59" s="196" t="s">
        <v>225</v>
      </c>
      <c r="C59" s="207">
        <v>46149</v>
      </c>
      <c r="D59" s="196" t="s">
        <v>173</v>
      </c>
      <c r="E59" s="196"/>
      <c r="F59" s="196"/>
      <c r="G59" s="192" t="s">
        <v>142</v>
      </c>
      <c r="H59" s="198">
        <v>46163</v>
      </c>
      <c r="I59" s="192" t="s">
        <v>143</v>
      </c>
      <c r="J59" s="199">
        <v>46176</v>
      </c>
      <c r="K59" s="192" t="s">
        <v>144</v>
      </c>
      <c r="L59" s="192" t="s">
        <v>144</v>
      </c>
      <c r="M59" s="198"/>
      <c r="N59" s="200"/>
      <c r="O59" s="201"/>
    </row>
    <row r="60" spans="2:15" ht="16" x14ac:dyDescent="0.4">
      <c r="B60" s="196" t="s">
        <v>226</v>
      </c>
      <c r="C60" s="207">
        <v>46149</v>
      </c>
      <c r="D60" s="196" t="s">
        <v>173</v>
      </c>
      <c r="E60" s="196"/>
      <c r="F60" s="196"/>
      <c r="G60" s="192" t="s">
        <v>151</v>
      </c>
      <c r="L60" s="192" t="s">
        <v>152</v>
      </c>
      <c r="M60" s="198"/>
      <c r="N60" s="200"/>
      <c r="O60" s="201"/>
    </row>
    <row r="61" spans="2:15" ht="16" x14ac:dyDescent="0.4">
      <c r="B61" s="196" t="s">
        <v>227</v>
      </c>
      <c r="C61" s="207">
        <v>46149</v>
      </c>
      <c r="D61" s="196" t="s">
        <v>173</v>
      </c>
      <c r="E61" s="196"/>
      <c r="F61" s="196"/>
      <c r="G61" s="192" t="s">
        <v>151</v>
      </c>
      <c r="L61" s="192" t="s">
        <v>152</v>
      </c>
      <c r="M61" s="198"/>
      <c r="N61" s="200"/>
      <c r="O61" s="201"/>
    </row>
    <row r="62" spans="2:15" ht="16" x14ac:dyDescent="0.4">
      <c r="B62" s="196" t="s">
        <v>228</v>
      </c>
      <c r="C62" s="207">
        <v>46149</v>
      </c>
      <c r="D62" s="196" t="s">
        <v>173</v>
      </c>
      <c r="E62" s="196"/>
      <c r="F62" s="196"/>
      <c r="G62" s="192" t="s">
        <v>151</v>
      </c>
      <c r="L62" s="192" t="s">
        <v>152</v>
      </c>
      <c r="M62" s="198"/>
      <c r="N62" s="200"/>
      <c r="O62" s="201"/>
    </row>
    <row r="63" spans="2:15" ht="16" x14ac:dyDescent="0.4">
      <c r="B63" s="196" t="s">
        <v>229</v>
      </c>
      <c r="C63" s="207">
        <v>46149</v>
      </c>
      <c r="D63" s="196" t="s">
        <v>154</v>
      </c>
      <c r="E63" s="196"/>
      <c r="F63" s="196"/>
      <c r="G63" s="192" t="s">
        <v>146</v>
      </c>
      <c r="H63" s="198">
        <v>46153</v>
      </c>
      <c r="I63" s="192" t="s">
        <v>143</v>
      </c>
      <c r="J63" s="199">
        <v>46155</v>
      </c>
      <c r="K63" s="192" t="s">
        <v>144</v>
      </c>
      <c r="L63" s="192" t="s">
        <v>144</v>
      </c>
      <c r="M63" s="198"/>
      <c r="N63" s="200"/>
      <c r="O63" s="201"/>
    </row>
    <row r="64" spans="2:15" ht="16" x14ac:dyDescent="0.4">
      <c r="B64" s="196" t="s">
        <v>230</v>
      </c>
      <c r="C64" s="207">
        <v>46149</v>
      </c>
      <c r="D64" s="196" t="s">
        <v>141</v>
      </c>
      <c r="E64" s="196"/>
      <c r="F64" s="196"/>
      <c r="G64" s="192" t="s">
        <v>151</v>
      </c>
      <c r="L64" s="192" t="s">
        <v>152</v>
      </c>
      <c r="M64" s="198"/>
      <c r="N64" s="200"/>
      <c r="O64" s="201"/>
    </row>
    <row r="65" spans="2:20" ht="16" x14ac:dyDescent="0.4">
      <c r="B65" s="196" t="s">
        <v>231</v>
      </c>
      <c r="C65" s="207">
        <v>46149</v>
      </c>
      <c r="D65" s="196" t="s">
        <v>173</v>
      </c>
      <c r="E65" s="196" t="s">
        <v>180</v>
      </c>
      <c r="F65" s="196" t="s">
        <v>159</v>
      </c>
      <c r="G65" s="192" t="s">
        <v>142</v>
      </c>
      <c r="H65" s="198">
        <v>46162</v>
      </c>
      <c r="I65" s="192" t="s">
        <v>143</v>
      </c>
      <c r="J65" s="199">
        <v>46164</v>
      </c>
      <c r="K65" s="192" t="s">
        <v>160</v>
      </c>
      <c r="L65" s="192" t="s">
        <v>232</v>
      </c>
      <c r="M65" s="198"/>
      <c r="N65" s="224" t="s">
        <v>208</v>
      </c>
      <c r="O65" s="199">
        <v>46188</v>
      </c>
    </row>
    <row r="66" spans="2:20" ht="16" x14ac:dyDescent="0.4">
      <c r="B66" s="196" t="s">
        <v>233</v>
      </c>
      <c r="C66" s="207">
        <v>46149</v>
      </c>
      <c r="D66" s="196" t="s">
        <v>141</v>
      </c>
      <c r="E66" s="196"/>
      <c r="F66" s="196"/>
      <c r="G66" s="192" t="s">
        <v>151</v>
      </c>
      <c r="L66" s="192" t="s">
        <v>152</v>
      </c>
      <c r="M66" s="198"/>
      <c r="N66" s="200"/>
      <c r="O66" s="201"/>
    </row>
    <row r="67" spans="2:20" ht="16" x14ac:dyDescent="0.4">
      <c r="B67" s="196" t="s">
        <v>234</v>
      </c>
      <c r="C67" s="207">
        <v>46149</v>
      </c>
      <c r="D67" s="196" t="s">
        <v>141</v>
      </c>
      <c r="E67" s="196"/>
      <c r="F67" s="196"/>
      <c r="G67" s="192" t="s">
        <v>142</v>
      </c>
      <c r="H67" s="198">
        <v>46155</v>
      </c>
      <c r="I67" s="192" t="s">
        <v>143</v>
      </c>
      <c r="L67" s="192" t="s">
        <v>235</v>
      </c>
      <c r="M67" s="198"/>
      <c r="N67" s="200"/>
      <c r="O67" s="201"/>
    </row>
    <row r="68" spans="2:20" ht="16" x14ac:dyDescent="0.4">
      <c r="B68" s="196" t="s">
        <v>236</v>
      </c>
      <c r="C68" s="197">
        <v>46239</v>
      </c>
      <c r="D68" s="196" t="s">
        <v>75</v>
      </c>
      <c r="E68" s="196"/>
      <c r="F68" s="196"/>
      <c r="G68" s="192" t="s">
        <v>146</v>
      </c>
      <c r="H68" s="198">
        <v>46155</v>
      </c>
      <c r="I68" s="192" t="s">
        <v>147</v>
      </c>
      <c r="L68" s="192" t="s">
        <v>147</v>
      </c>
      <c r="M68" s="198"/>
      <c r="N68" s="200"/>
      <c r="O68" s="201"/>
    </row>
    <row r="69" spans="2:20" ht="16" x14ac:dyDescent="0.4">
      <c r="B69" s="196" t="s">
        <v>237</v>
      </c>
      <c r="C69" s="197">
        <v>46239</v>
      </c>
      <c r="D69" s="196" t="s">
        <v>75</v>
      </c>
      <c r="E69" s="196"/>
      <c r="F69" s="196"/>
      <c r="G69" s="192" t="s">
        <v>151</v>
      </c>
      <c r="L69" s="192" t="s">
        <v>152</v>
      </c>
      <c r="M69" s="198"/>
      <c r="N69" s="200"/>
      <c r="O69" s="201"/>
    </row>
    <row r="70" spans="2:20" ht="16" x14ac:dyDescent="0.4">
      <c r="B70" s="196" t="s">
        <v>238</v>
      </c>
      <c r="C70" s="197">
        <v>46239</v>
      </c>
      <c r="D70" s="196" t="s">
        <v>75</v>
      </c>
      <c r="E70" s="196" t="s">
        <v>188</v>
      </c>
      <c r="F70" s="196" t="s">
        <v>181</v>
      </c>
      <c r="G70" s="192" t="s">
        <v>142</v>
      </c>
      <c r="H70" s="198">
        <v>46156</v>
      </c>
      <c r="I70" s="192" t="s">
        <v>143</v>
      </c>
      <c r="J70" s="199">
        <v>46160</v>
      </c>
      <c r="K70" s="192" t="s">
        <v>144</v>
      </c>
      <c r="L70" s="192" t="s">
        <v>144</v>
      </c>
      <c r="M70" s="198"/>
      <c r="N70" s="200"/>
      <c r="O70" s="201"/>
    </row>
    <row r="71" spans="2:20" ht="16" x14ac:dyDescent="0.4">
      <c r="B71" s="196" t="s">
        <v>239</v>
      </c>
      <c r="C71" s="197">
        <v>46239</v>
      </c>
      <c r="D71" s="196" t="s">
        <v>75</v>
      </c>
      <c r="E71" s="196"/>
      <c r="F71" s="196"/>
      <c r="G71" s="192" t="s">
        <v>146</v>
      </c>
      <c r="H71" s="198">
        <v>46157</v>
      </c>
      <c r="I71" s="192" t="s">
        <v>147</v>
      </c>
      <c r="L71" s="192" t="s">
        <v>147</v>
      </c>
      <c r="M71" s="198"/>
      <c r="N71" s="200"/>
      <c r="O71" s="201"/>
    </row>
    <row r="72" spans="2:20" ht="16" x14ac:dyDescent="0.4">
      <c r="B72" s="196" t="s">
        <v>240</v>
      </c>
      <c r="C72" s="197">
        <v>46239</v>
      </c>
      <c r="D72" s="196" t="s">
        <v>75</v>
      </c>
      <c r="E72" s="196" t="s">
        <v>188</v>
      </c>
      <c r="F72" s="196" t="s">
        <v>181</v>
      </c>
      <c r="G72" s="192" t="s">
        <v>142</v>
      </c>
      <c r="H72" s="198">
        <v>46157</v>
      </c>
      <c r="I72" s="192" t="s">
        <v>143</v>
      </c>
      <c r="J72" s="199">
        <v>46162</v>
      </c>
      <c r="K72" s="192" t="s">
        <v>160</v>
      </c>
      <c r="L72" s="192" t="s">
        <v>160</v>
      </c>
      <c r="M72" s="198"/>
      <c r="N72" s="200"/>
      <c r="O72" s="201"/>
    </row>
    <row r="73" spans="2:20" ht="16" x14ac:dyDescent="0.4">
      <c r="B73" s="196" t="s">
        <v>241</v>
      </c>
      <c r="C73" s="207">
        <v>46155</v>
      </c>
      <c r="D73" s="196" t="s">
        <v>69</v>
      </c>
      <c r="E73" s="196"/>
      <c r="F73" s="196"/>
      <c r="G73" s="192" t="s">
        <v>151</v>
      </c>
      <c r="L73" s="192" t="s">
        <v>152</v>
      </c>
      <c r="M73" s="198"/>
      <c r="N73" s="200"/>
      <c r="O73" s="201"/>
    </row>
    <row r="74" spans="2:20" ht="16" x14ac:dyDescent="0.4">
      <c r="B74" s="196" t="s">
        <v>242</v>
      </c>
      <c r="C74" s="207">
        <v>46155</v>
      </c>
      <c r="D74" s="196" t="s">
        <v>69</v>
      </c>
      <c r="E74" s="196"/>
      <c r="F74" s="196"/>
      <c r="G74" s="192" t="s">
        <v>151</v>
      </c>
      <c r="L74" s="192" t="s">
        <v>152</v>
      </c>
      <c r="M74" s="198"/>
      <c r="N74" s="200"/>
      <c r="O74" s="201"/>
    </row>
    <row r="75" spans="2:20" ht="16" x14ac:dyDescent="0.4">
      <c r="B75" s="196" t="s">
        <v>243</v>
      </c>
      <c r="C75" s="207">
        <v>46155</v>
      </c>
      <c r="D75" s="196" t="s">
        <v>69</v>
      </c>
      <c r="E75" s="196"/>
      <c r="F75" s="196"/>
      <c r="G75" s="192" t="s">
        <v>146</v>
      </c>
      <c r="H75" s="198">
        <v>46161</v>
      </c>
      <c r="I75" s="192" t="s">
        <v>147</v>
      </c>
      <c r="L75" s="192" t="s">
        <v>147</v>
      </c>
      <c r="M75" s="198"/>
      <c r="N75" s="200"/>
      <c r="O75" s="201"/>
    </row>
    <row r="76" spans="2:20" ht="16" x14ac:dyDescent="0.4">
      <c r="B76" s="196" t="s">
        <v>244</v>
      </c>
      <c r="C76" s="207">
        <v>46155</v>
      </c>
      <c r="D76" s="196" t="s">
        <v>69</v>
      </c>
      <c r="E76" s="196"/>
      <c r="F76" s="196"/>
      <c r="G76" s="192" t="s">
        <v>146</v>
      </c>
      <c r="H76" s="198">
        <v>46162</v>
      </c>
      <c r="I76" s="192" t="s">
        <v>147</v>
      </c>
      <c r="L76" s="192" t="s">
        <v>147</v>
      </c>
      <c r="M76" s="198"/>
      <c r="N76" s="200"/>
      <c r="O76" s="201"/>
    </row>
    <row r="77" spans="2:20" ht="16" x14ac:dyDescent="0.4">
      <c r="B77" s="196" t="s">
        <v>245</v>
      </c>
      <c r="C77" s="207">
        <v>46155</v>
      </c>
      <c r="D77" s="196" t="s">
        <v>69</v>
      </c>
      <c r="E77" s="196"/>
      <c r="F77" s="196"/>
      <c r="G77" s="192" t="s">
        <v>142</v>
      </c>
      <c r="H77" s="198">
        <v>46178</v>
      </c>
      <c r="I77" s="192" t="s">
        <v>143</v>
      </c>
      <c r="K77" s="199">
        <v>46185</v>
      </c>
      <c r="L77" s="192" t="s">
        <v>144</v>
      </c>
      <c r="M77" s="198"/>
      <c r="N77" s="200"/>
      <c r="O77" s="201"/>
    </row>
    <row r="78" spans="2:20" ht="16" x14ac:dyDescent="0.4">
      <c r="B78" s="196" t="s">
        <v>246</v>
      </c>
      <c r="C78" s="207">
        <v>46155</v>
      </c>
      <c r="D78" s="196" t="s">
        <v>154</v>
      </c>
      <c r="E78" s="196"/>
      <c r="F78" s="196"/>
      <c r="G78" s="192" t="s">
        <v>151</v>
      </c>
      <c r="L78" s="192" t="s">
        <v>152</v>
      </c>
      <c r="M78" s="198"/>
      <c r="N78" s="200"/>
      <c r="O78" s="201"/>
    </row>
    <row r="79" spans="2:20" ht="16" x14ac:dyDescent="0.4">
      <c r="B79" s="196" t="s">
        <v>247</v>
      </c>
      <c r="C79" s="207">
        <v>46155</v>
      </c>
      <c r="D79" s="196" t="s">
        <v>154</v>
      </c>
      <c r="E79" s="196"/>
      <c r="F79" s="196"/>
      <c r="G79" s="192" t="s">
        <v>151</v>
      </c>
      <c r="L79" s="192" t="s">
        <v>152</v>
      </c>
      <c r="M79" s="198"/>
      <c r="N79" s="200"/>
      <c r="O79" s="201"/>
    </row>
    <row r="80" spans="2:20" ht="16" x14ac:dyDescent="0.4">
      <c r="B80" s="196" t="s">
        <v>248</v>
      </c>
      <c r="C80" s="207">
        <v>46155</v>
      </c>
      <c r="D80" s="196" t="s">
        <v>154</v>
      </c>
      <c r="E80" s="196"/>
      <c r="F80" s="196"/>
      <c r="G80" s="192" t="s">
        <v>151</v>
      </c>
      <c r="L80" s="192" t="s">
        <v>152</v>
      </c>
      <c r="M80" s="198"/>
      <c r="N80" s="200"/>
      <c r="O80" s="201"/>
      <c r="S80" s="198"/>
      <c r="T80" s="203"/>
    </row>
    <row r="81" spans="2:19" ht="16" x14ac:dyDescent="0.4">
      <c r="B81" s="196" t="s">
        <v>249</v>
      </c>
      <c r="C81" s="207">
        <v>46155</v>
      </c>
      <c r="D81" s="196" t="s">
        <v>154</v>
      </c>
      <c r="E81" s="196"/>
      <c r="F81" s="196"/>
      <c r="G81" s="192" t="s">
        <v>151</v>
      </c>
      <c r="L81" s="192" t="s">
        <v>152</v>
      </c>
      <c r="M81" s="198"/>
      <c r="N81" s="200"/>
      <c r="O81" s="201"/>
      <c r="Q81" s="198"/>
      <c r="R81" s="198"/>
      <c r="S81" s="198"/>
    </row>
    <row r="82" spans="2:19" ht="16" x14ac:dyDescent="0.4">
      <c r="B82" s="196" t="s">
        <v>250</v>
      </c>
      <c r="C82" s="207">
        <v>46155</v>
      </c>
      <c r="D82" s="196" t="s">
        <v>154</v>
      </c>
      <c r="E82" s="196"/>
      <c r="F82" s="196"/>
      <c r="G82" s="192" t="s">
        <v>151</v>
      </c>
      <c r="L82" s="192" t="s">
        <v>152</v>
      </c>
      <c r="M82" s="198"/>
      <c r="N82" s="200"/>
      <c r="O82" s="201"/>
    </row>
    <row r="83" spans="2:19" ht="16" x14ac:dyDescent="0.4">
      <c r="B83" s="196" t="s">
        <v>251</v>
      </c>
      <c r="C83" s="207">
        <v>46155</v>
      </c>
      <c r="D83" s="196" t="s">
        <v>165</v>
      </c>
      <c r="E83" s="196"/>
      <c r="F83" s="196"/>
      <c r="G83" s="192" t="s">
        <v>146</v>
      </c>
      <c r="H83" s="198">
        <v>46178</v>
      </c>
      <c r="I83" s="192" t="s">
        <v>147</v>
      </c>
      <c r="L83" s="192" t="s">
        <v>147</v>
      </c>
      <c r="M83" s="198"/>
      <c r="N83" s="200"/>
      <c r="O83" s="201"/>
      <c r="Q83" s="198"/>
      <c r="R83" s="198"/>
    </row>
    <row r="84" spans="2:19" ht="16" x14ac:dyDescent="0.4">
      <c r="B84" s="196" t="s">
        <v>252</v>
      </c>
      <c r="C84" s="207">
        <v>46155</v>
      </c>
      <c r="D84" s="196" t="s">
        <v>141</v>
      </c>
      <c r="E84" s="196"/>
      <c r="F84" s="196"/>
      <c r="G84" s="192" t="s">
        <v>142</v>
      </c>
      <c r="H84" s="198">
        <v>46163</v>
      </c>
      <c r="I84" s="192" t="s">
        <v>143</v>
      </c>
      <c r="J84" s="199">
        <v>46177</v>
      </c>
      <c r="K84" s="192" t="s">
        <v>144</v>
      </c>
      <c r="L84" s="192" t="s">
        <v>144</v>
      </c>
      <c r="M84" s="198"/>
      <c r="N84" s="200"/>
      <c r="O84" s="201"/>
    </row>
    <row r="85" spans="2:19" ht="16" x14ac:dyDescent="0.4">
      <c r="B85" s="196" t="s">
        <v>253</v>
      </c>
      <c r="C85" s="207">
        <v>46155</v>
      </c>
      <c r="D85" s="196" t="s">
        <v>154</v>
      </c>
      <c r="E85" s="196"/>
      <c r="F85" s="196"/>
      <c r="G85" s="192" t="s">
        <v>151</v>
      </c>
      <c r="L85" s="192" t="s">
        <v>152</v>
      </c>
      <c r="M85" s="198"/>
      <c r="N85" s="200"/>
      <c r="O85" s="201"/>
    </row>
    <row r="86" spans="2:19" ht="16" x14ac:dyDescent="0.4">
      <c r="B86" s="196" t="s">
        <v>254</v>
      </c>
      <c r="C86" s="207">
        <v>46155</v>
      </c>
      <c r="D86" s="196" t="s">
        <v>165</v>
      </c>
      <c r="E86" s="196"/>
      <c r="F86" s="196"/>
      <c r="G86" s="192" t="s">
        <v>151</v>
      </c>
      <c r="L86" s="192" t="s">
        <v>152</v>
      </c>
      <c r="M86" s="198"/>
      <c r="N86" s="200"/>
      <c r="O86" s="201"/>
      <c r="S86" s="198"/>
    </row>
    <row r="87" spans="2:19" ht="16" x14ac:dyDescent="0.4">
      <c r="B87" s="196" t="s">
        <v>255</v>
      </c>
      <c r="C87" s="207">
        <v>46155</v>
      </c>
      <c r="D87" s="196" t="s">
        <v>165</v>
      </c>
      <c r="E87" s="196"/>
      <c r="F87" s="196"/>
      <c r="G87" s="192" t="s">
        <v>151</v>
      </c>
      <c r="L87" s="192" t="s">
        <v>152</v>
      </c>
      <c r="M87" s="198"/>
      <c r="N87" s="200"/>
      <c r="O87" s="201"/>
      <c r="Q87" s="198"/>
      <c r="R87" s="198"/>
    </row>
    <row r="88" spans="2:19" ht="16" x14ac:dyDescent="0.4">
      <c r="B88" s="196" t="s">
        <v>256</v>
      </c>
      <c r="C88" s="207">
        <v>46155</v>
      </c>
      <c r="D88" s="196" t="s">
        <v>165</v>
      </c>
      <c r="E88" s="196"/>
      <c r="F88" s="196"/>
      <c r="G88" s="192" t="s">
        <v>151</v>
      </c>
      <c r="L88" s="192" t="s">
        <v>152</v>
      </c>
      <c r="M88" s="198"/>
      <c r="N88" s="200"/>
      <c r="O88" s="201"/>
    </row>
    <row r="89" spans="2:19" ht="16" x14ac:dyDescent="0.4">
      <c r="B89" s="196" t="s">
        <v>257</v>
      </c>
      <c r="C89" s="207">
        <v>46155</v>
      </c>
      <c r="D89" s="196" t="s">
        <v>165</v>
      </c>
      <c r="E89" s="196"/>
      <c r="F89" s="196"/>
      <c r="G89" s="192" t="s">
        <v>151</v>
      </c>
      <c r="L89" s="192" t="s">
        <v>152</v>
      </c>
      <c r="M89" s="198"/>
      <c r="N89" s="200"/>
      <c r="O89" s="201"/>
      <c r="Q89" s="198"/>
      <c r="R89" s="198"/>
      <c r="S89" s="198"/>
    </row>
    <row r="90" spans="2:19" ht="16" x14ac:dyDescent="0.4">
      <c r="B90" s="196" t="s">
        <v>258</v>
      </c>
      <c r="C90" s="207">
        <v>46155</v>
      </c>
      <c r="D90" s="192" t="s">
        <v>259</v>
      </c>
      <c r="E90" s="196"/>
      <c r="F90" s="196"/>
      <c r="G90" s="192" t="s">
        <v>142</v>
      </c>
      <c r="H90" s="198">
        <v>46183</v>
      </c>
      <c r="I90" s="192" t="s">
        <v>143</v>
      </c>
      <c r="J90" s="199">
        <v>46185</v>
      </c>
      <c r="K90" s="192" t="s">
        <v>160</v>
      </c>
      <c r="L90" s="192" t="s">
        <v>184</v>
      </c>
      <c r="M90" s="198"/>
      <c r="N90" s="200"/>
      <c r="O90" s="199">
        <v>46190</v>
      </c>
    </row>
    <row r="91" spans="2:19" ht="16" x14ac:dyDescent="0.4">
      <c r="B91" s="196" t="s">
        <v>260</v>
      </c>
      <c r="C91" s="207">
        <v>46155</v>
      </c>
      <c r="D91" s="196" t="s">
        <v>69</v>
      </c>
      <c r="E91" s="196" t="s">
        <v>261</v>
      </c>
      <c r="F91" s="196" t="s">
        <v>262</v>
      </c>
      <c r="G91" s="192" t="s">
        <v>146</v>
      </c>
      <c r="H91" s="198">
        <v>46160</v>
      </c>
      <c r="I91" s="192" t="s">
        <v>143</v>
      </c>
      <c r="J91" s="199">
        <v>46163</v>
      </c>
      <c r="K91" s="192" t="s">
        <v>160</v>
      </c>
      <c r="L91" s="192" t="s">
        <v>161</v>
      </c>
      <c r="M91" s="198"/>
      <c r="N91" s="200" t="s">
        <v>263</v>
      </c>
      <c r="O91" s="199">
        <v>46181</v>
      </c>
    </row>
    <row r="92" spans="2:19" ht="16" x14ac:dyDescent="0.4">
      <c r="B92" s="196" t="s">
        <v>264</v>
      </c>
      <c r="C92" s="207">
        <v>46155</v>
      </c>
      <c r="D92" s="192" t="s">
        <v>259</v>
      </c>
      <c r="E92" s="196"/>
      <c r="F92" s="196"/>
      <c r="G92" s="192" t="s">
        <v>142</v>
      </c>
      <c r="H92" s="198">
        <v>46189</v>
      </c>
      <c r="I92" s="192" t="s">
        <v>143</v>
      </c>
      <c r="J92" s="199">
        <v>46191</v>
      </c>
      <c r="L92" s="192" t="s">
        <v>265</v>
      </c>
      <c r="M92" s="198"/>
      <c r="N92" s="200"/>
      <c r="O92" s="201"/>
    </row>
    <row r="93" spans="2:19" ht="16" x14ac:dyDescent="0.4">
      <c r="B93" s="196" t="s">
        <v>266</v>
      </c>
      <c r="C93" s="207">
        <v>46155</v>
      </c>
      <c r="D93" s="196" t="s">
        <v>165</v>
      </c>
      <c r="E93" s="196"/>
      <c r="F93" s="196"/>
      <c r="G93" s="192" t="s">
        <v>151</v>
      </c>
      <c r="L93" s="192" t="s">
        <v>152</v>
      </c>
      <c r="M93" s="198"/>
      <c r="N93" s="200"/>
      <c r="O93" s="201"/>
    </row>
    <row r="94" spans="2:19" ht="16" x14ac:dyDescent="0.4">
      <c r="B94" s="196" t="s">
        <v>267</v>
      </c>
      <c r="C94" s="207">
        <v>46155</v>
      </c>
      <c r="D94" s="196" t="s">
        <v>165</v>
      </c>
      <c r="E94" s="196"/>
      <c r="F94" s="196"/>
      <c r="G94" s="192" t="s">
        <v>151</v>
      </c>
      <c r="L94" s="192" t="s">
        <v>152</v>
      </c>
      <c r="M94" s="198"/>
      <c r="N94" s="200"/>
      <c r="O94" s="201"/>
    </row>
    <row r="95" spans="2:19" ht="16" x14ac:dyDescent="0.4">
      <c r="B95" s="196" t="s">
        <v>268</v>
      </c>
      <c r="C95" s="207">
        <v>46155</v>
      </c>
      <c r="D95" s="196" t="s">
        <v>154</v>
      </c>
      <c r="E95" s="196"/>
      <c r="F95" s="196"/>
      <c r="G95" s="192" t="s">
        <v>151</v>
      </c>
      <c r="L95" s="192" t="s">
        <v>152</v>
      </c>
      <c r="M95" s="198"/>
      <c r="N95" s="200"/>
      <c r="O95" s="201"/>
    </row>
    <row r="96" spans="2:19" ht="16" x14ac:dyDescent="0.4">
      <c r="B96" s="196" t="s">
        <v>269</v>
      </c>
      <c r="C96" s="207">
        <v>46155</v>
      </c>
      <c r="D96" s="196" t="s">
        <v>154</v>
      </c>
      <c r="E96" s="196"/>
      <c r="F96" s="196"/>
      <c r="G96" s="192" t="s">
        <v>151</v>
      </c>
      <c r="L96" s="192" t="s">
        <v>152</v>
      </c>
      <c r="M96" s="198"/>
      <c r="N96" s="200"/>
      <c r="O96" s="201"/>
    </row>
    <row r="97" spans="2:15" ht="16" x14ac:dyDescent="0.4">
      <c r="B97" s="196" t="s">
        <v>270</v>
      </c>
      <c r="C97" s="207">
        <v>46155</v>
      </c>
      <c r="D97" s="192" t="s">
        <v>259</v>
      </c>
      <c r="E97" s="196"/>
      <c r="F97" s="196"/>
      <c r="G97" s="192" t="s">
        <v>142</v>
      </c>
      <c r="H97" s="198">
        <v>46182</v>
      </c>
      <c r="I97" s="192" t="s">
        <v>143</v>
      </c>
      <c r="J97" s="199">
        <v>46188</v>
      </c>
      <c r="K97" s="192" t="s">
        <v>160</v>
      </c>
      <c r="L97" s="192" t="s">
        <v>184</v>
      </c>
      <c r="M97" s="198"/>
      <c r="N97" s="200" t="s">
        <v>271</v>
      </c>
      <c r="O97" s="199">
        <v>46191</v>
      </c>
    </row>
    <row r="98" spans="2:15" ht="16" x14ac:dyDescent="0.4">
      <c r="B98" s="196" t="s">
        <v>272</v>
      </c>
      <c r="C98" s="207">
        <v>46155</v>
      </c>
      <c r="D98" s="196" t="s">
        <v>165</v>
      </c>
      <c r="E98" s="196"/>
      <c r="F98" s="196"/>
      <c r="G98" s="192" t="s">
        <v>146</v>
      </c>
      <c r="H98" s="198">
        <v>46178</v>
      </c>
      <c r="L98" s="192" t="s">
        <v>147</v>
      </c>
      <c r="M98" s="198"/>
      <c r="N98" s="200"/>
      <c r="O98" s="201"/>
    </row>
    <row r="99" spans="2:15" ht="16" x14ac:dyDescent="0.4">
      <c r="B99" s="196" t="s">
        <v>273</v>
      </c>
      <c r="C99" s="207">
        <v>46155</v>
      </c>
      <c r="D99" s="192" t="s">
        <v>259</v>
      </c>
      <c r="E99" s="196"/>
      <c r="F99" s="196"/>
      <c r="G99" s="192" t="s">
        <v>142</v>
      </c>
      <c r="H99" s="198">
        <v>46181</v>
      </c>
      <c r="I99" s="192" t="s">
        <v>143</v>
      </c>
      <c r="J99" s="199">
        <v>46182</v>
      </c>
      <c r="K99" s="192" t="s">
        <v>160</v>
      </c>
      <c r="L99" s="192" t="s">
        <v>274</v>
      </c>
      <c r="M99" s="198"/>
      <c r="N99" s="224" t="s">
        <v>275</v>
      </c>
      <c r="O99" s="199">
        <v>46189</v>
      </c>
    </row>
    <row r="100" spans="2:15" ht="16" x14ac:dyDescent="0.4">
      <c r="B100" s="196" t="s">
        <v>276</v>
      </c>
      <c r="C100" s="207">
        <v>46155</v>
      </c>
      <c r="D100" s="196" t="s">
        <v>173</v>
      </c>
      <c r="E100" s="196"/>
      <c r="F100" s="196"/>
      <c r="G100" s="192" t="s">
        <v>146</v>
      </c>
      <c r="H100" s="198">
        <v>46161</v>
      </c>
      <c r="I100" s="192" t="s">
        <v>147</v>
      </c>
      <c r="L100" s="192" t="s">
        <v>147</v>
      </c>
      <c r="M100" s="198"/>
      <c r="N100" s="200"/>
      <c r="O100" s="201"/>
    </row>
    <row r="101" spans="2:15" ht="16" x14ac:dyDescent="0.4">
      <c r="B101" s="196" t="s">
        <v>277</v>
      </c>
      <c r="C101" s="207">
        <v>46155</v>
      </c>
      <c r="D101" s="196" t="s">
        <v>165</v>
      </c>
      <c r="E101" s="196"/>
      <c r="F101" s="196"/>
      <c r="G101" s="192" t="s">
        <v>151</v>
      </c>
      <c r="L101" s="192" t="s">
        <v>152</v>
      </c>
      <c r="M101" s="198"/>
      <c r="N101" s="200"/>
      <c r="O101" s="201"/>
    </row>
    <row r="102" spans="2:15" ht="16" x14ac:dyDescent="0.4">
      <c r="B102" s="196" t="s">
        <v>278</v>
      </c>
      <c r="C102" s="207">
        <v>46155</v>
      </c>
      <c r="D102" s="196" t="s">
        <v>141</v>
      </c>
      <c r="E102" s="196"/>
      <c r="F102" s="196"/>
      <c r="G102" s="192" t="s">
        <v>142</v>
      </c>
      <c r="H102" s="198">
        <v>46160</v>
      </c>
      <c r="I102" s="192" t="s">
        <v>143</v>
      </c>
      <c r="J102" s="199">
        <v>46178</v>
      </c>
      <c r="K102" s="192" t="s">
        <v>144</v>
      </c>
      <c r="L102" s="192" t="s">
        <v>144</v>
      </c>
      <c r="M102" s="198"/>
      <c r="N102" s="200"/>
      <c r="O102" s="201"/>
    </row>
    <row r="103" spans="2:15" ht="16" x14ac:dyDescent="0.4">
      <c r="B103" s="196" t="s">
        <v>279</v>
      </c>
      <c r="C103" s="207">
        <v>46155</v>
      </c>
      <c r="D103" s="196" t="s">
        <v>173</v>
      </c>
      <c r="E103" s="196"/>
      <c r="F103" s="196"/>
      <c r="G103" s="192" t="s">
        <v>151</v>
      </c>
      <c r="L103" s="192" t="s">
        <v>152</v>
      </c>
      <c r="M103" s="198"/>
      <c r="N103" s="200"/>
      <c r="O103" s="201"/>
    </row>
    <row r="104" spans="2:15" ht="16" x14ac:dyDescent="0.4">
      <c r="B104" s="196" t="s">
        <v>280</v>
      </c>
      <c r="C104" s="207">
        <v>46155</v>
      </c>
      <c r="D104" s="196" t="s">
        <v>75</v>
      </c>
      <c r="E104" s="196"/>
      <c r="F104" s="196"/>
      <c r="G104" s="192" t="s">
        <v>146</v>
      </c>
      <c r="H104" s="198">
        <v>46160</v>
      </c>
      <c r="I104" s="192" t="s">
        <v>147</v>
      </c>
      <c r="L104" s="192" t="s">
        <v>147</v>
      </c>
      <c r="M104" s="208"/>
      <c r="N104" s="200"/>
      <c r="O104" s="201"/>
    </row>
    <row r="105" spans="2:15" ht="16" x14ac:dyDescent="0.4">
      <c r="B105" s="209" t="s">
        <v>281</v>
      </c>
      <c r="C105" s="207">
        <v>46154</v>
      </c>
      <c r="D105" s="196" t="s">
        <v>165</v>
      </c>
      <c r="E105" s="196"/>
      <c r="F105" s="196"/>
      <c r="G105" s="192" t="s">
        <v>151</v>
      </c>
      <c r="L105" s="192" t="s">
        <v>152</v>
      </c>
      <c r="M105" s="208"/>
      <c r="N105" s="200"/>
      <c r="O105" s="201"/>
    </row>
    <row r="106" spans="2:15" ht="15.75" customHeight="1" x14ac:dyDescent="0.4">
      <c r="B106" s="209" t="s">
        <v>282</v>
      </c>
      <c r="C106" s="207">
        <v>46154</v>
      </c>
      <c r="D106" s="196" t="s">
        <v>165</v>
      </c>
      <c r="E106" s="196"/>
      <c r="F106" s="196"/>
      <c r="G106" s="192" t="s">
        <v>146</v>
      </c>
      <c r="H106" s="198">
        <v>46157</v>
      </c>
      <c r="I106" s="192" t="s">
        <v>147</v>
      </c>
      <c r="L106" s="192" t="s">
        <v>147</v>
      </c>
    </row>
    <row r="107" spans="2:15" ht="15.75" customHeight="1" x14ac:dyDescent="0.4">
      <c r="B107" s="209" t="s">
        <v>283</v>
      </c>
      <c r="C107" s="207">
        <v>46154</v>
      </c>
      <c r="D107" s="196" t="s">
        <v>165</v>
      </c>
      <c r="E107" s="196"/>
      <c r="F107" s="196"/>
      <c r="G107" s="192" t="s">
        <v>146</v>
      </c>
      <c r="H107" s="198">
        <v>46157</v>
      </c>
      <c r="I107" s="192" t="s">
        <v>147</v>
      </c>
      <c r="L107" s="192" t="s">
        <v>147</v>
      </c>
    </row>
    <row r="108" spans="2:15" ht="15.75" customHeight="1" x14ac:dyDescent="0.4">
      <c r="B108" s="196" t="s">
        <v>246</v>
      </c>
      <c r="C108" s="207">
        <v>46156</v>
      </c>
      <c r="D108" s="196" t="s">
        <v>154</v>
      </c>
      <c r="E108" s="196"/>
      <c r="F108" s="196"/>
      <c r="G108" s="192" t="s">
        <v>151</v>
      </c>
      <c r="L108" s="192" t="s">
        <v>152</v>
      </c>
    </row>
    <row r="109" spans="2:15" ht="15.75" customHeight="1" x14ac:dyDescent="0.4">
      <c r="B109" s="196" t="s">
        <v>247</v>
      </c>
      <c r="C109" s="207">
        <v>46156</v>
      </c>
      <c r="D109" s="196" t="s">
        <v>154</v>
      </c>
      <c r="E109" s="196"/>
      <c r="F109" s="196"/>
      <c r="G109" s="192" t="s">
        <v>151</v>
      </c>
      <c r="L109" s="192" t="s">
        <v>152</v>
      </c>
    </row>
    <row r="110" spans="2:15" ht="15.75" customHeight="1" x14ac:dyDescent="0.4">
      <c r="B110" s="196" t="s">
        <v>248</v>
      </c>
      <c r="C110" s="207">
        <v>46156</v>
      </c>
      <c r="D110" s="196" t="s">
        <v>154</v>
      </c>
      <c r="E110" s="196"/>
      <c r="F110" s="196"/>
      <c r="G110" s="192" t="s">
        <v>151</v>
      </c>
      <c r="L110" s="192" t="s">
        <v>152</v>
      </c>
    </row>
    <row r="111" spans="2:15" ht="15.75" customHeight="1" x14ac:dyDescent="0.4">
      <c r="B111" s="196" t="s">
        <v>249</v>
      </c>
      <c r="C111" s="207">
        <v>46156</v>
      </c>
      <c r="D111" s="196" t="s">
        <v>154</v>
      </c>
      <c r="E111" s="196"/>
      <c r="F111" s="196"/>
      <c r="G111" s="192" t="s">
        <v>151</v>
      </c>
      <c r="L111" s="192" t="s">
        <v>152</v>
      </c>
    </row>
    <row r="112" spans="2:15" ht="15.75" customHeight="1" x14ac:dyDescent="0.4">
      <c r="B112" s="196" t="s">
        <v>250</v>
      </c>
      <c r="C112" s="207">
        <v>46156</v>
      </c>
      <c r="D112" s="196" t="s">
        <v>154</v>
      </c>
      <c r="E112" s="196"/>
      <c r="F112" s="196"/>
      <c r="G112" s="192" t="s">
        <v>151</v>
      </c>
      <c r="L112" s="192" t="s">
        <v>152</v>
      </c>
    </row>
    <row r="113" spans="2:15" ht="15.75" customHeight="1" x14ac:dyDescent="0.4">
      <c r="B113" s="196" t="s">
        <v>253</v>
      </c>
      <c r="C113" s="207">
        <v>46156</v>
      </c>
      <c r="D113" s="196" t="s">
        <v>154</v>
      </c>
      <c r="E113" s="196"/>
      <c r="F113" s="196"/>
      <c r="G113" s="192" t="s">
        <v>151</v>
      </c>
      <c r="L113" s="192" t="s">
        <v>152</v>
      </c>
    </row>
    <row r="114" spans="2:15" ht="15.75" customHeight="1" x14ac:dyDescent="0.4">
      <c r="B114" s="196" t="s">
        <v>254</v>
      </c>
      <c r="C114" s="207">
        <v>46156</v>
      </c>
      <c r="D114" s="196" t="s">
        <v>165</v>
      </c>
      <c r="E114" s="196"/>
      <c r="F114" s="196"/>
      <c r="G114" s="192" t="s">
        <v>151</v>
      </c>
      <c r="L114" s="192" t="s">
        <v>152</v>
      </c>
    </row>
    <row r="115" spans="2:15" ht="15.75" customHeight="1" x14ac:dyDescent="0.4">
      <c r="B115" s="196" t="s">
        <v>255</v>
      </c>
      <c r="C115" s="207">
        <v>46156</v>
      </c>
      <c r="D115" s="196" t="s">
        <v>165</v>
      </c>
      <c r="E115" s="196"/>
      <c r="F115" s="196"/>
      <c r="G115" s="192" t="s">
        <v>151</v>
      </c>
      <c r="L115" s="192" t="s">
        <v>152</v>
      </c>
    </row>
    <row r="116" spans="2:15" ht="15.75" customHeight="1" x14ac:dyDescent="0.4">
      <c r="B116" s="196" t="s">
        <v>256</v>
      </c>
      <c r="C116" s="207">
        <v>46156</v>
      </c>
      <c r="D116" s="196" t="s">
        <v>165</v>
      </c>
      <c r="E116" s="196"/>
      <c r="F116" s="196"/>
      <c r="G116" s="192" t="s">
        <v>151</v>
      </c>
      <c r="L116" s="192" t="s">
        <v>152</v>
      </c>
    </row>
    <row r="117" spans="2:15" ht="15.75" customHeight="1" x14ac:dyDescent="0.4">
      <c r="B117" s="196" t="s">
        <v>284</v>
      </c>
      <c r="C117" s="207">
        <v>46156</v>
      </c>
      <c r="D117" s="196" t="s">
        <v>165</v>
      </c>
      <c r="E117" s="196"/>
      <c r="F117" s="196"/>
      <c r="G117" s="192" t="s">
        <v>146</v>
      </c>
      <c r="H117" s="198">
        <v>46162</v>
      </c>
      <c r="I117" s="192" t="s">
        <v>147</v>
      </c>
      <c r="L117" s="192" t="s">
        <v>147</v>
      </c>
    </row>
    <row r="118" spans="2:15" ht="15.75" customHeight="1" x14ac:dyDescent="0.4">
      <c r="B118" s="196" t="s">
        <v>285</v>
      </c>
      <c r="C118" s="207">
        <v>46156</v>
      </c>
      <c r="D118" s="196" t="s">
        <v>165</v>
      </c>
      <c r="E118" s="196"/>
      <c r="F118" s="196"/>
      <c r="G118" s="192" t="s">
        <v>142</v>
      </c>
      <c r="H118" s="198">
        <v>46160</v>
      </c>
      <c r="I118" s="192" t="s">
        <v>143</v>
      </c>
      <c r="J118" s="199">
        <v>46162</v>
      </c>
      <c r="K118" s="192" t="s">
        <v>144</v>
      </c>
      <c r="L118" s="192" t="s">
        <v>144</v>
      </c>
    </row>
    <row r="119" spans="2:15" ht="15.75" customHeight="1" x14ac:dyDescent="0.4">
      <c r="B119" s="196" t="s">
        <v>286</v>
      </c>
      <c r="C119" s="207">
        <v>46156</v>
      </c>
      <c r="D119" s="196" t="s">
        <v>165</v>
      </c>
      <c r="E119" s="196"/>
      <c r="F119" s="196"/>
      <c r="G119" s="192" t="s">
        <v>151</v>
      </c>
      <c r="L119" s="192" t="s">
        <v>152</v>
      </c>
    </row>
    <row r="120" spans="2:15" ht="15.75" customHeight="1" x14ac:dyDescent="0.4">
      <c r="B120" s="196" t="s">
        <v>287</v>
      </c>
      <c r="C120" s="207">
        <v>46156</v>
      </c>
      <c r="D120" s="196" t="s">
        <v>165</v>
      </c>
      <c r="E120" s="196"/>
      <c r="F120" s="196"/>
      <c r="G120" s="192" t="s">
        <v>151</v>
      </c>
      <c r="L120" s="192" t="s">
        <v>152</v>
      </c>
    </row>
    <row r="121" spans="2:15" ht="15.75" customHeight="1" x14ac:dyDescent="0.4">
      <c r="B121" s="196" t="s">
        <v>288</v>
      </c>
      <c r="C121" s="207">
        <v>46156</v>
      </c>
      <c r="D121" s="196" t="s">
        <v>154</v>
      </c>
      <c r="E121" s="196"/>
      <c r="F121" s="196"/>
      <c r="G121" s="192" t="s">
        <v>151</v>
      </c>
      <c r="L121" s="192" t="s">
        <v>152</v>
      </c>
    </row>
    <row r="122" spans="2:15" ht="15.75" customHeight="1" x14ac:dyDescent="0.4">
      <c r="B122" s="196" t="s">
        <v>289</v>
      </c>
      <c r="C122" s="207">
        <v>46156</v>
      </c>
      <c r="D122" s="196" t="s">
        <v>141</v>
      </c>
      <c r="E122" s="196"/>
      <c r="F122" s="196"/>
      <c r="G122" s="192" t="s">
        <v>151</v>
      </c>
      <c r="L122" s="192" t="s">
        <v>152</v>
      </c>
    </row>
    <row r="123" spans="2:15" ht="15.75" customHeight="1" x14ac:dyDescent="0.4">
      <c r="B123" s="196" t="s">
        <v>290</v>
      </c>
      <c r="C123" s="207">
        <v>46156</v>
      </c>
      <c r="D123" s="196" t="s">
        <v>154</v>
      </c>
      <c r="E123" s="196"/>
      <c r="F123" s="196"/>
      <c r="G123" s="192" t="s">
        <v>151</v>
      </c>
      <c r="L123" s="192" t="s">
        <v>152</v>
      </c>
    </row>
    <row r="124" spans="2:15" ht="15.75" customHeight="1" x14ac:dyDescent="0.4">
      <c r="B124" s="196" t="s">
        <v>291</v>
      </c>
      <c r="C124" s="207">
        <v>46156</v>
      </c>
      <c r="D124" s="196" t="s">
        <v>154</v>
      </c>
      <c r="E124" s="196"/>
      <c r="F124" s="196"/>
      <c r="G124" s="192" t="s">
        <v>151</v>
      </c>
      <c r="L124" s="192" t="s">
        <v>152</v>
      </c>
    </row>
    <row r="125" spans="2:15" ht="15.75" customHeight="1" x14ac:dyDescent="0.4">
      <c r="B125" s="196" t="s">
        <v>292</v>
      </c>
      <c r="C125" s="207">
        <v>46156</v>
      </c>
      <c r="D125" s="196" t="s">
        <v>165</v>
      </c>
      <c r="E125" s="196"/>
      <c r="F125" s="196"/>
      <c r="G125" s="192" t="s">
        <v>146</v>
      </c>
      <c r="H125" s="198">
        <v>46161</v>
      </c>
      <c r="I125" s="192" t="s">
        <v>147</v>
      </c>
      <c r="L125" s="192" t="s">
        <v>147</v>
      </c>
    </row>
    <row r="126" spans="2:15" ht="15.75" customHeight="1" x14ac:dyDescent="0.4">
      <c r="B126" s="196" t="s">
        <v>293</v>
      </c>
      <c r="C126" s="207">
        <v>46156</v>
      </c>
      <c r="D126" s="196" t="s">
        <v>165</v>
      </c>
      <c r="E126" s="196" t="s">
        <v>180</v>
      </c>
      <c r="F126" s="196" t="s">
        <v>159</v>
      </c>
      <c r="G126" s="192" t="s">
        <v>294</v>
      </c>
      <c r="H126" s="198">
        <v>46161</v>
      </c>
      <c r="I126" s="192" t="s">
        <v>143</v>
      </c>
      <c r="J126" s="199">
        <v>46164</v>
      </c>
      <c r="K126" s="192" t="s">
        <v>160</v>
      </c>
      <c r="L126" s="192" t="s">
        <v>295</v>
      </c>
      <c r="N126" s="224" t="s">
        <v>296</v>
      </c>
      <c r="O126" s="199">
        <v>46190</v>
      </c>
    </row>
    <row r="127" spans="2:15" ht="15.75" customHeight="1" x14ac:dyDescent="0.4">
      <c r="B127" s="196" t="s">
        <v>297</v>
      </c>
      <c r="C127" s="207">
        <v>46156</v>
      </c>
      <c r="D127" s="196" t="s">
        <v>165</v>
      </c>
      <c r="E127" s="196"/>
      <c r="F127" s="196"/>
      <c r="G127" s="192" t="s">
        <v>151</v>
      </c>
      <c r="L127" s="192" t="s">
        <v>152</v>
      </c>
    </row>
    <row r="128" spans="2:15" ht="15.75" customHeight="1" x14ac:dyDescent="0.4">
      <c r="B128" s="196" t="s">
        <v>298</v>
      </c>
      <c r="C128" s="207">
        <v>46156</v>
      </c>
      <c r="D128" s="196" t="s">
        <v>165</v>
      </c>
      <c r="E128" s="196"/>
      <c r="F128" s="196"/>
      <c r="G128" s="192" t="s">
        <v>151</v>
      </c>
      <c r="L128" s="192" t="s">
        <v>152</v>
      </c>
    </row>
    <row r="129" spans="2:12" ht="15.75" customHeight="1" x14ac:dyDescent="0.4">
      <c r="B129" s="196" t="s">
        <v>299</v>
      </c>
      <c r="C129" s="207">
        <v>46156</v>
      </c>
      <c r="D129" s="196" t="s">
        <v>141</v>
      </c>
      <c r="E129" s="196"/>
      <c r="F129" s="196"/>
      <c r="G129" s="192" t="s">
        <v>151</v>
      </c>
      <c r="L129" s="192" t="s">
        <v>152</v>
      </c>
    </row>
    <row r="130" spans="2:12" ht="15.75" customHeight="1" x14ac:dyDescent="0.4">
      <c r="B130" s="196" t="s">
        <v>300</v>
      </c>
      <c r="C130" s="207">
        <v>46156</v>
      </c>
      <c r="D130" s="196" t="s">
        <v>154</v>
      </c>
      <c r="E130" s="196"/>
      <c r="F130" s="196"/>
      <c r="G130" s="192" t="s">
        <v>151</v>
      </c>
      <c r="L130" s="192" t="s">
        <v>152</v>
      </c>
    </row>
    <row r="131" spans="2:12" ht="15.75" customHeight="1" x14ac:dyDescent="0.4">
      <c r="B131" s="196" t="s">
        <v>301</v>
      </c>
      <c r="C131" s="207">
        <v>46156</v>
      </c>
      <c r="D131" s="196" t="s">
        <v>141</v>
      </c>
      <c r="E131" s="196"/>
      <c r="F131" s="196"/>
      <c r="G131" s="192" t="s">
        <v>151</v>
      </c>
      <c r="L131" s="192" t="s">
        <v>152</v>
      </c>
    </row>
    <row r="132" spans="2:12" ht="15.75" customHeight="1" x14ac:dyDescent="0.4">
      <c r="B132" s="196" t="s">
        <v>302</v>
      </c>
      <c r="C132" s="207">
        <v>46156</v>
      </c>
      <c r="D132" s="196" t="s">
        <v>141</v>
      </c>
      <c r="E132" s="196"/>
      <c r="F132" s="196"/>
      <c r="G132" s="192" t="s">
        <v>151</v>
      </c>
      <c r="L132" s="192" t="s">
        <v>152</v>
      </c>
    </row>
    <row r="133" spans="2:12" ht="15.75" customHeight="1" x14ac:dyDescent="0.4">
      <c r="B133" s="196" t="s">
        <v>303</v>
      </c>
      <c r="C133" s="197">
        <v>46239</v>
      </c>
      <c r="D133" s="196" t="s">
        <v>173</v>
      </c>
      <c r="E133" s="196"/>
      <c r="F133" s="196"/>
      <c r="G133" s="192" t="s">
        <v>151</v>
      </c>
      <c r="L133" s="192" t="s">
        <v>152</v>
      </c>
    </row>
    <row r="134" spans="2:12" ht="15.75" customHeight="1" x14ac:dyDescent="0.4">
      <c r="B134" s="196" t="s">
        <v>148</v>
      </c>
      <c r="C134" s="197">
        <v>46239</v>
      </c>
      <c r="D134" s="196" t="s">
        <v>141</v>
      </c>
      <c r="E134" s="196"/>
      <c r="F134" s="196"/>
      <c r="G134" s="192" t="s">
        <v>151</v>
      </c>
      <c r="L134" s="192" t="s">
        <v>152</v>
      </c>
    </row>
    <row r="135" spans="2:12" ht="15.75" customHeight="1" x14ac:dyDescent="0.4">
      <c r="B135" s="196" t="s">
        <v>304</v>
      </c>
      <c r="C135" s="197">
        <v>46239</v>
      </c>
      <c r="D135" s="196" t="s">
        <v>141</v>
      </c>
      <c r="E135" s="196"/>
      <c r="F135" s="196"/>
      <c r="G135" s="192" t="s">
        <v>151</v>
      </c>
      <c r="L135" s="192" t="s">
        <v>152</v>
      </c>
    </row>
    <row r="136" spans="2:12" ht="15.75" customHeight="1" x14ac:dyDescent="0.4">
      <c r="B136" s="196" t="s">
        <v>305</v>
      </c>
      <c r="C136" s="197">
        <v>46239</v>
      </c>
      <c r="D136" s="196" t="s">
        <v>154</v>
      </c>
      <c r="E136" s="196"/>
      <c r="F136" s="196"/>
      <c r="G136" s="192" t="s">
        <v>146</v>
      </c>
      <c r="H136" s="198">
        <v>46178</v>
      </c>
      <c r="I136" s="192" t="s">
        <v>147</v>
      </c>
      <c r="L136" s="192" t="s">
        <v>147</v>
      </c>
    </row>
    <row r="137" spans="2:12" ht="15.75" customHeight="1" x14ac:dyDescent="0.4">
      <c r="B137" s="196" t="s">
        <v>306</v>
      </c>
      <c r="C137" s="197">
        <v>46239</v>
      </c>
      <c r="D137" s="196" t="s">
        <v>173</v>
      </c>
      <c r="E137" s="196"/>
      <c r="F137" s="196"/>
      <c r="G137" s="192" t="s">
        <v>151</v>
      </c>
      <c r="L137" s="192" t="s">
        <v>152</v>
      </c>
    </row>
    <row r="138" spans="2:12" ht="15.75" customHeight="1" x14ac:dyDescent="0.4">
      <c r="B138" s="196" t="s">
        <v>307</v>
      </c>
      <c r="C138" s="197">
        <v>46239</v>
      </c>
      <c r="D138" s="196" t="s">
        <v>173</v>
      </c>
      <c r="E138" s="196"/>
      <c r="F138" s="196"/>
      <c r="G138" s="192" t="s">
        <v>151</v>
      </c>
      <c r="L138" s="192" t="s">
        <v>152</v>
      </c>
    </row>
    <row r="139" spans="2:12" ht="15.75" customHeight="1" x14ac:dyDescent="0.4">
      <c r="B139" s="196" t="s">
        <v>308</v>
      </c>
      <c r="C139" s="197">
        <v>46239</v>
      </c>
      <c r="D139" s="196" t="s">
        <v>173</v>
      </c>
      <c r="E139" s="196"/>
      <c r="F139" s="196"/>
      <c r="G139" s="192" t="s">
        <v>151</v>
      </c>
      <c r="L139" s="192" t="s">
        <v>152</v>
      </c>
    </row>
    <row r="140" spans="2:12" ht="15.75" customHeight="1" x14ac:dyDescent="0.4">
      <c r="B140" s="196" t="s">
        <v>309</v>
      </c>
      <c r="C140" s="197">
        <v>46239</v>
      </c>
      <c r="D140" s="196" t="s">
        <v>173</v>
      </c>
      <c r="E140" s="196"/>
      <c r="F140" s="196"/>
      <c r="G140" s="192" t="s">
        <v>151</v>
      </c>
      <c r="L140" s="192" t="s">
        <v>152</v>
      </c>
    </row>
    <row r="141" spans="2:12" ht="15.75" customHeight="1" x14ac:dyDescent="0.4">
      <c r="B141" s="196" t="s">
        <v>310</v>
      </c>
      <c r="C141" s="197">
        <v>46239</v>
      </c>
      <c r="D141" s="196" t="s">
        <v>173</v>
      </c>
      <c r="E141" s="196" t="s">
        <v>158</v>
      </c>
      <c r="F141" s="196" t="s">
        <v>216</v>
      </c>
      <c r="G141" s="192" t="s">
        <v>142</v>
      </c>
      <c r="H141" s="198">
        <v>46163</v>
      </c>
      <c r="I141" s="192" t="s">
        <v>143</v>
      </c>
      <c r="J141" s="199">
        <v>46177</v>
      </c>
      <c r="K141" s="192" t="s">
        <v>160</v>
      </c>
      <c r="L141" s="192" t="s">
        <v>160</v>
      </c>
    </row>
    <row r="142" spans="2:12" ht="15.75" customHeight="1" x14ac:dyDescent="0.4">
      <c r="B142" s="196" t="s">
        <v>311</v>
      </c>
      <c r="C142" s="197">
        <v>46239</v>
      </c>
      <c r="D142" s="196" t="s">
        <v>173</v>
      </c>
      <c r="E142" s="196"/>
      <c r="F142" s="196"/>
      <c r="G142" s="192" t="s">
        <v>151</v>
      </c>
      <c r="L142" s="192" t="s">
        <v>152</v>
      </c>
    </row>
    <row r="143" spans="2:12" ht="15.75" customHeight="1" x14ac:dyDescent="0.4">
      <c r="B143" s="196" t="s">
        <v>312</v>
      </c>
      <c r="C143" s="197">
        <v>46239</v>
      </c>
      <c r="D143" s="196" t="s">
        <v>173</v>
      </c>
      <c r="E143" s="196"/>
      <c r="F143" s="196"/>
      <c r="G143" s="192" t="s">
        <v>151</v>
      </c>
      <c r="L143" s="192" t="s">
        <v>152</v>
      </c>
    </row>
    <row r="144" spans="2:12" ht="15.75" customHeight="1" x14ac:dyDescent="0.4">
      <c r="B144" s="196" t="s">
        <v>313</v>
      </c>
      <c r="C144" s="197">
        <v>46239</v>
      </c>
      <c r="D144" s="196" t="s">
        <v>173</v>
      </c>
      <c r="E144" s="196"/>
      <c r="F144" s="196"/>
      <c r="G144" s="192" t="s">
        <v>151</v>
      </c>
      <c r="L144" s="192" t="s">
        <v>152</v>
      </c>
    </row>
    <row r="145" spans="2:15" ht="15.75" customHeight="1" x14ac:dyDescent="0.4">
      <c r="B145" s="196" t="s">
        <v>314</v>
      </c>
      <c r="C145" s="197">
        <v>46239</v>
      </c>
      <c r="D145" s="196" t="s">
        <v>173</v>
      </c>
      <c r="E145" s="196"/>
      <c r="F145" s="196"/>
      <c r="G145" s="192" t="s">
        <v>151</v>
      </c>
      <c r="L145" s="192" t="s">
        <v>152</v>
      </c>
    </row>
    <row r="146" spans="2:15" ht="15.75" customHeight="1" x14ac:dyDescent="0.4">
      <c r="B146" s="196" t="s">
        <v>315</v>
      </c>
      <c r="C146" s="197">
        <v>46239</v>
      </c>
      <c r="D146" s="196" t="s">
        <v>141</v>
      </c>
      <c r="E146" s="196" t="s">
        <v>158</v>
      </c>
      <c r="F146" s="196" t="s">
        <v>181</v>
      </c>
      <c r="G146" s="192" t="s">
        <v>294</v>
      </c>
      <c r="H146" s="198">
        <v>46160</v>
      </c>
      <c r="I146" s="192" t="s">
        <v>143</v>
      </c>
      <c r="J146" s="199">
        <v>46163</v>
      </c>
      <c r="K146" s="192" t="s">
        <v>160</v>
      </c>
      <c r="L146" s="192" t="s">
        <v>295</v>
      </c>
      <c r="N146" s="224" t="s">
        <v>316</v>
      </c>
      <c r="O146" s="199">
        <v>46188</v>
      </c>
    </row>
    <row r="147" spans="2:15" ht="15.75" customHeight="1" x14ac:dyDescent="0.4">
      <c r="B147" s="196" t="s">
        <v>317</v>
      </c>
      <c r="C147" s="197">
        <v>46239</v>
      </c>
      <c r="D147" s="196" t="s">
        <v>173</v>
      </c>
      <c r="E147" s="196"/>
      <c r="F147" s="196"/>
      <c r="G147" s="192" t="s">
        <v>146</v>
      </c>
      <c r="H147" s="198">
        <v>46160</v>
      </c>
      <c r="I147" s="192" t="s">
        <v>147</v>
      </c>
      <c r="L147" s="192" t="s">
        <v>147</v>
      </c>
    </row>
    <row r="148" spans="2:15" ht="15.75" customHeight="1" x14ac:dyDescent="0.4">
      <c r="B148" s="196" t="s">
        <v>318</v>
      </c>
      <c r="C148" s="197">
        <v>46239</v>
      </c>
      <c r="D148" s="196" t="s">
        <v>173</v>
      </c>
      <c r="E148" s="196"/>
      <c r="F148" s="196"/>
      <c r="G148" s="192" t="s">
        <v>142</v>
      </c>
      <c r="H148" s="198">
        <v>46163</v>
      </c>
      <c r="I148" s="192" t="s">
        <v>143</v>
      </c>
      <c r="L148" s="192" t="s">
        <v>235</v>
      </c>
    </row>
    <row r="149" spans="2:15" ht="15.75" customHeight="1" x14ac:dyDescent="0.4">
      <c r="B149" s="196" t="s">
        <v>319</v>
      </c>
      <c r="C149" s="197">
        <v>46239</v>
      </c>
      <c r="D149" s="196" t="s">
        <v>173</v>
      </c>
      <c r="E149" s="196"/>
      <c r="F149" s="196"/>
      <c r="G149" s="192" t="s">
        <v>151</v>
      </c>
      <c r="L149" s="192" t="s">
        <v>152</v>
      </c>
    </row>
    <row r="150" spans="2:15" ht="15.75" customHeight="1" x14ac:dyDescent="0.4">
      <c r="B150" s="196" t="s">
        <v>320</v>
      </c>
      <c r="C150" s="197">
        <v>46239</v>
      </c>
      <c r="D150" s="196" t="s">
        <v>173</v>
      </c>
      <c r="E150" s="196"/>
      <c r="F150" s="196"/>
      <c r="G150" s="192" t="s">
        <v>151</v>
      </c>
      <c r="L150" s="192" t="s">
        <v>152</v>
      </c>
    </row>
    <row r="151" spans="2:15" ht="15.75" customHeight="1" x14ac:dyDescent="0.4">
      <c r="B151" s="196" t="s">
        <v>321</v>
      </c>
      <c r="C151" s="197">
        <v>46239</v>
      </c>
      <c r="D151" s="196" t="s">
        <v>173</v>
      </c>
      <c r="E151" s="196"/>
      <c r="F151" s="196"/>
      <c r="G151" s="192" t="s">
        <v>151</v>
      </c>
      <c r="L151" s="192" t="s">
        <v>152</v>
      </c>
    </row>
    <row r="152" spans="2:15" ht="15.75" customHeight="1" x14ac:dyDescent="0.4">
      <c r="B152" s="196" t="s">
        <v>322</v>
      </c>
      <c r="C152" s="197">
        <v>46239</v>
      </c>
      <c r="D152" s="196" t="s">
        <v>173</v>
      </c>
      <c r="E152" s="196"/>
      <c r="F152" s="196"/>
      <c r="G152" s="192" t="s">
        <v>151</v>
      </c>
      <c r="L152" s="192" t="s">
        <v>152</v>
      </c>
    </row>
    <row r="153" spans="2:15" ht="15.75" customHeight="1" x14ac:dyDescent="0.4">
      <c r="B153" s="196" t="s">
        <v>323</v>
      </c>
      <c r="C153" s="191">
        <v>46156</v>
      </c>
      <c r="D153" s="196" t="s">
        <v>69</v>
      </c>
      <c r="E153" s="196"/>
      <c r="F153" s="196"/>
      <c r="G153" s="192" t="s">
        <v>151</v>
      </c>
      <c r="L153" s="192" t="s">
        <v>152</v>
      </c>
    </row>
    <row r="154" spans="2:15" ht="15.75" customHeight="1" x14ac:dyDescent="0.4">
      <c r="B154" s="196" t="s">
        <v>324</v>
      </c>
      <c r="C154" s="191">
        <v>46156</v>
      </c>
      <c r="D154" s="196" t="s">
        <v>69</v>
      </c>
      <c r="E154" s="196"/>
      <c r="F154" s="196"/>
      <c r="G154" s="192" t="s">
        <v>151</v>
      </c>
      <c r="L154" s="192" t="s">
        <v>152</v>
      </c>
    </row>
    <row r="155" spans="2:15" ht="15.75" customHeight="1" x14ac:dyDescent="0.4">
      <c r="B155" s="196" t="s">
        <v>325</v>
      </c>
      <c r="C155" s="191">
        <v>46156</v>
      </c>
      <c r="D155" s="196" t="s">
        <v>154</v>
      </c>
      <c r="E155" s="196"/>
      <c r="F155" s="196"/>
      <c r="G155" s="192" t="s">
        <v>151</v>
      </c>
      <c r="L155" s="192" t="s">
        <v>152</v>
      </c>
    </row>
    <row r="156" spans="2:15" ht="15.75" customHeight="1" x14ac:dyDescent="0.4">
      <c r="B156" s="196" t="s">
        <v>326</v>
      </c>
      <c r="C156" s="191">
        <v>46156</v>
      </c>
      <c r="D156" s="196" t="s">
        <v>154</v>
      </c>
      <c r="E156" s="196"/>
      <c r="F156" s="196"/>
      <c r="G156" s="192" t="s">
        <v>151</v>
      </c>
      <c r="L156" s="192" t="s">
        <v>152</v>
      </c>
    </row>
    <row r="157" spans="2:15" ht="15.75" customHeight="1" x14ac:dyDescent="0.4">
      <c r="B157" s="196" t="s">
        <v>327</v>
      </c>
      <c r="C157" s="191">
        <v>46156</v>
      </c>
      <c r="D157" s="196" t="s">
        <v>154</v>
      </c>
      <c r="E157" s="196"/>
      <c r="F157" s="196"/>
      <c r="G157" s="192" t="s">
        <v>151</v>
      </c>
      <c r="L157" s="192" t="s">
        <v>152</v>
      </c>
    </row>
    <row r="158" spans="2:15" ht="15.75" customHeight="1" x14ac:dyDescent="0.4">
      <c r="B158" s="196" t="s">
        <v>328</v>
      </c>
      <c r="C158" s="191">
        <v>46156</v>
      </c>
      <c r="D158" s="196" t="s">
        <v>69</v>
      </c>
      <c r="E158" s="196"/>
      <c r="F158" s="196"/>
      <c r="G158" s="192" t="s">
        <v>151</v>
      </c>
      <c r="L158" s="192" t="s">
        <v>152</v>
      </c>
    </row>
    <row r="159" spans="2:15" ht="15.75" customHeight="1" x14ac:dyDescent="0.4">
      <c r="B159" s="196" t="s">
        <v>329</v>
      </c>
      <c r="C159" s="191">
        <v>46156</v>
      </c>
      <c r="D159" s="196" t="s">
        <v>69</v>
      </c>
      <c r="E159" s="196"/>
      <c r="F159" s="196"/>
      <c r="G159" s="192" t="s">
        <v>151</v>
      </c>
      <c r="L159" s="192" t="s">
        <v>152</v>
      </c>
    </row>
    <row r="160" spans="2:15" ht="15.75" customHeight="1" x14ac:dyDescent="0.4">
      <c r="B160" s="196" t="s">
        <v>330</v>
      </c>
      <c r="C160" s="191">
        <v>46156</v>
      </c>
      <c r="D160" s="196" t="s">
        <v>69</v>
      </c>
      <c r="E160" s="196"/>
      <c r="F160" s="196"/>
      <c r="G160" s="192" t="s">
        <v>151</v>
      </c>
      <c r="L160" s="192" t="s">
        <v>152</v>
      </c>
    </row>
    <row r="161" spans="2:15" ht="15.75" customHeight="1" x14ac:dyDescent="0.55000000000000004">
      <c r="B161" s="196" t="s">
        <v>331</v>
      </c>
      <c r="C161" s="199">
        <v>46154</v>
      </c>
      <c r="D161" s="196" t="s">
        <v>165</v>
      </c>
      <c r="E161" s="196" t="s">
        <v>180</v>
      </c>
      <c r="F161" s="196" t="s">
        <v>181</v>
      </c>
      <c r="G161" s="192" t="s">
        <v>142</v>
      </c>
      <c r="I161" s="192" t="s">
        <v>143</v>
      </c>
      <c r="K161" s="192" t="s">
        <v>160</v>
      </c>
      <c r="L161" s="192" t="s">
        <v>184</v>
      </c>
    </row>
    <row r="162" spans="2:15" ht="15.75" customHeight="1" x14ac:dyDescent="0.4">
      <c r="B162" s="209" t="s">
        <v>332</v>
      </c>
      <c r="C162" s="207">
        <v>46160</v>
      </c>
      <c r="D162" s="196" t="s">
        <v>141</v>
      </c>
      <c r="E162" s="196"/>
      <c r="F162" s="196"/>
      <c r="G162" s="192" t="s">
        <v>142</v>
      </c>
      <c r="H162" s="198">
        <v>46162</v>
      </c>
      <c r="I162" s="192" t="s">
        <v>143</v>
      </c>
      <c r="L162" s="192" t="s">
        <v>235</v>
      </c>
    </row>
    <row r="163" spans="2:15" ht="15.75" customHeight="1" x14ac:dyDescent="0.4">
      <c r="B163" s="196" t="s">
        <v>333</v>
      </c>
      <c r="C163" s="191" t="s">
        <v>334</v>
      </c>
      <c r="D163" s="196" t="s">
        <v>69</v>
      </c>
      <c r="E163" s="196"/>
      <c r="F163" s="196"/>
      <c r="G163" s="192" t="s">
        <v>151</v>
      </c>
      <c r="L163" s="192" t="s">
        <v>152</v>
      </c>
    </row>
    <row r="164" spans="2:15" ht="15.75" customHeight="1" x14ac:dyDescent="0.4">
      <c r="B164" s="196" t="s">
        <v>335</v>
      </c>
      <c r="C164" s="191" t="s">
        <v>334</v>
      </c>
      <c r="D164" s="196" t="s">
        <v>69</v>
      </c>
      <c r="E164" s="196"/>
      <c r="F164" s="196"/>
      <c r="G164" s="192" t="s">
        <v>151</v>
      </c>
      <c r="L164" s="192" t="s">
        <v>152</v>
      </c>
    </row>
    <row r="165" spans="2:15" ht="15.75" customHeight="1" x14ac:dyDescent="0.4">
      <c r="B165" s="196" t="s">
        <v>336</v>
      </c>
      <c r="C165" s="191" t="s">
        <v>334</v>
      </c>
      <c r="D165" s="196" t="s">
        <v>69</v>
      </c>
      <c r="E165" s="196"/>
      <c r="F165" s="196"/>
      <c r="G165" s="192" t="s">
        <v>151</v>
      </c>
      <c r="L165" s="192" t="s">
        <v>152</v>
      </c>
    </row>
    <row r="166" spans="2:15" ht="15.75" customHeight="1" x14ac:dyDescent="0.4">
      <c r="B166" s="196" t="s">
        <v>337</v>
      </c>
      <c r="C166" s="191" t="s">
        <v>334</v>
      </c>
      <c r="D166" s="196" t="s">
        <v>69</v>
      </c>
      <c r="E166" s="196"/>
      <c r="F166" s="196"/>
      <c r="G166" s="192" t="s">
        <v>151</v>
      </c>
      <c r="L166" s="192" t="s">
        <v>152</v>
      </c>
    </row>
    <row r="167" spans="2:15" ht="15.75" customHeight="1" x14ac:dyDescent="0.4">
      <c r="B167" s="196" t="s">
        <v>338</v>
      </c>
      <c r="C167" s="191" t="s">
        <v>334</v>
      </c>
      <c r="D167" s="196" t="s">
        <v>69</v>
      </c>
      <c r="E167" s="196"/>
      <c r="F167" s="196"/>
      <c r="G167" s="192" t="s">
        <v>151</v>
      </c>
      <c r="L167" s="192" t="s">
        <v>152</v>
      </c>
    </row>
    <row r="168" spans="2:15" ht="15.75" customHeight="1" x14ac:dyDescent="0.4">
      <c r="B168" s="210" t="s">
        <v>339</v>
      </c>
      <c r="C168" s="211" t="s">
        <v>340</v>
      </c>
      <c r="D168" s="196" t="s">
        <v>69</v>
      </c>
      <c r="E168" s="196"/>
      <c r="F168" s="196"/>
      <c r="G168" s="192" t="s">
        <v>151</v>
      </c>
      <c r="L168" s="192" t="s">
        <v>152</v>
      </c>
    </row>
    <row r="169" spans="2:15" ht="15.75" customHeight="1" x14ac:dyDescent="0.4">
      <c r="B169" s="210" t="s">
        <v>341</v>
      </c>
      <c r="C169" s="211" t="s">
        <v>340</v>
      </c>
      <c r="D169" s="196" t="s">
        <v>69</v>
      </c>
      <c r="E169" s="196"/>
      <c r="F169" s="196"/>
      <c r="G169" s="192" t="s">
        <v>146</v>
      </c>
      <c r="H169" s="198">
        <v>46163</v>
      </c>
      <c r="I169" s="192" t="s">
        <v>147</v>
      </c>
      <c r="L169" s="192" t="s">
        <v>147</v>
      </c>
    </row>
    <row r="170" spans="2:15" ht="15.75" customHeight="1" x14ac:dyDescent="0.4">
      <c r="B170" s="210" t="s">
        <v>342</v>
      </c>
      <c r="C170" s="211" t="s">
        <v>340</v>
      </c>
      <c r="D170" s="196" t="s">
        <v>69</v>
      </c>
      <c r="E170" s="196"/>
      <c r="F170" s="196"/>
      <c r="G170" s="192" t="s">
        <v>142</v>
      </c>
      <c r="H170" s="198">
        <v>46178</v>
      </c>
      <c r="I170" s="192" t="s">
        <v>143</v>
      </c>
      <c r="L170" s="192" t="s">
        <v>235</v>
      </c>
    </row>
    <row r="171" spans="2:15" ht="15.75" customHeight="1" x14ac:dyDescent="0.4">
      <c r="B171" s="210" t="s">
        <v>343</v>
      </c>
      <c r="C171" s="211" t="s">
        <v>340</v>
      </c>
      <c r="D171" s="196" t="s">
        <v>69</v>
      </c>
      <c r="E171" s="196"/>
      <c r="F171" s="196"/>
      <c r="G171" s="192" t="s">
        <v>151</v>
      </c>
      <c r="L171" s="192" t="s">
        <v>152</v>
      </c>
    </row>
    <row r="172" spans="2:15" ht="15.75" customHeight="1" x14ac:dyDescent="0.4">
      <c r="B172" s="193" t="s">
        <v>344</v>
      </c>
      <c r="C172" s="202">
        <v>46161</v>
      </c>
      <c r="D172" s="196" t="s">
        <v>165</v>
      </c>
      <c r="E172" s="196" t="s">
        <v>167</v>
      </c>
      <c r="F172" s="196" t="s">
        <v>168</v>
      </c>
      <c r="G172" s="192" t="s">
        <v>142</v>
      </c>
      <c r="H172" s="198">
        <v>46165</v>
      </c>
      <c r="I172" s="192" t="s">
        <v>143</v>
      </c>
      <c r="J172" s="199">
        <v>46165</v>
      </c>
      <c r="K172" s="192" t="s">
        <v>160</v>
      </c>
      <c r="L172" s="192" t="s">
        <v>160</v>
      </c>
    </row>
    <row r="173" spans="2:15" ht="15.75" customHeight="1" x14ac:dyDescent="0.4">
      <c r="B173" s="196" t="s">
        <v>345</v>
      </c>
      <c r="C173" s="202">
        <v>46161</v>
      </c>
      <c r="D173" s="196" t="s">
        <v>165</v>
      </c>
      <c r="E173" s="196" t="s">
        <v>180</v>
      </c>
      <c r="F173" s="196" t="s">
        <v>262</v>
      </c>
      <c r="G173" s="192" t="s">
        <v>142</v>
      </c>
      <c r="H173" s="198">
        <v>46165</v>
      </c>
      <c r="I173" s="192" t="s">
        <v>143</v>
      </c>
      <c r="J173" s="199">
        <v>46165</v>
      </c>
      <c r="K173" s="192" t="s">
        <v>160</v>
      </c>
      <c r="L173" s="192" t="s">
        <v>184</v>
      </c>
      <c r="N173" s="224" t="s">
        <v>346</v>
      </c>
      <c r="O173" s="199">
        <v>46190</v>
      </c>
    </row>
    <row r="174" spans="2:15" ht="15.75" customHeight="1" x14ac:dyDescent="0.4">
      <c r="B174" s="196" t="s">
        <v>347</v>
      </c>
      <c r="C174" s="202">
        <v>46161</v>
      </c>
      <c r="D174" s="196" t="s">
        <v>154</v>
      </c>
      <c r="E174" s="196" t="s">
        <v>180</v>
      </c>
      <c r="F174" s="196" t="s">
        <v>262</v>
      </c>
      <c r="G174" s="192" t="s">
        <v>294</v>
      </c>
      <c r="H174" s="198">
        <v>46165</v>
      </c>
      <c r="I174" s="192" t="s">
        <v>143</v>
      </c>
      <c r="J174" s="199">
        <v>46165</v>
      </c>
      <c r="K174" s="192" t="s">
        <v>160</v>
      </c>
      <c r="L174" s="192" t="s">
        <v>295</v>
      </c>
      <c r="N174" s="192" t="s">
        <v>348</v>
      </c>
      <c r="O174" s="199">
        <v>46191</v>
      </c>
    </row>
    <row r="175" spans="2:15" ht="15.75" customHeight="1" x14ac:dyDescent="0.4">
      <c r="B175" s="196" t="s">
        <v>349</v>
      </c>
      <c r="C175" s="202">
        <v>46161</v>
      </c>
      <c r="D175" s="196" t="s">
        <v>154</v>
      </c>
      <c r="E175" s="196" t="s">
        <v>180</v>
      </c>
      <c r="F175" s="196" t="s">
        <v>168</v>
      </c>
      <c r="G175" s="192" t="s">
        <v>142</v>
      </c>
      <c r="H175" s="198">
        <v>46165</v>
      </c>
      <c r="I175" s="192" t="s">
        <v>143</v>
      </c>
      <c r="J175" s="199">
        <v>46165</v>
      </c>
      <c r="K175" s="192" t="s">
        <v>160</v>
      </c>
      <c r="L175" s="192" t="s">
        <v>350</v>
      </c>
    </row>
    <row r="176" spans="2:15" ht="15.75" customHeight="1" x14ac:dyDescent="0.4">
      <c r="B176" s="196" t="s">
        <v>351</v>
      </c>
      <c r="C176" s="202">
        <v>46161</v>
      </c>
      <c r="D176" s="196" t="s">
        <v>165</v>
      </c>
      <c r="E176" s="196" t="s">
        <v>180</v>
      </c>
      <c r="F176" s="196" t="s">
        <v>181</v>
      </c>
      <c r="G176" s="192" t="s">
        <v>142</v>
      </c>
      <c r="H176" s="198">
        <v>46165</v>
      </c>
      <c r="I176" s="192" t="s">
        <v>143</v>
      </c>
      <c r="J176" s="199">
        <v>46165</v>
      </c>
      <c r="K176" s="192" t="s">
        <v>160</v>
      </c>
      <c r="L176" s="192" t="s">
        <v>160</v>
      </c>
    </row>
    <row r="177" spans="2:15" ht="15.75" customHeight="1" x14ac:dyDescent="0.4">
      <c r="B177" s="196" t="s">
        <v>352</v>
      </c>
      <c r="C177" s="202">
        <v>46161</v>
      </c>
      <c r="D177" s="196" t="s">
        <v>165</v>
      </c>
      <c r="E177" s="196" t="s">
        <v>167</v>
      </c>
      <c r="F177" s="196" t="s">
        <v>216</v>
      </c>
      <c r="G177" s="192" t="s">
        <v>142</v>
      </c>
      <c r="H177" s="198">
        <v>46165</v>
      </c>
      <c r="I177" s="192" t="s">
        <v>143</v>
      </c>
      <c r="J177" s="199">
        <v>46165</v>
      </c>
      <c r="K177" s="192" t="s">
        <v>160</v>
      </c>
      <c r="L177" s="192" t="s">
        <v>184</v>
      </c>
      <c r="N177" s="192" t="s">
        <v>353</v>
      </c>
      <c r="O177" s="199">
        <v>46191</v>
      </c>
    </row>
    <row r="178" spans="2:15" ht="15.75" customHeight="1" x14ac:dyDescent="0.4">
      <c r="B178" s="196" t="s">
        <v>354</v>
      </c>
      <c r="C178" s="202">
        <v>46161</v>
      </c>
      <c r="D178" s="196" t="s">
        <v>154</v>
      </c>
      <c r="E178" s="196" t="s">
        <v>167</v>
      </c>
      <c r="F178" s="196" t="s">
        <v>159</v>
      </c>
      <c r="G178" s="192" t="s">
        <v>294</v>
      </c>
      <c r="H178" s="198">
        <v>46165</v>
      </c>
      <c r="I178" s="192" t="s">
        <v>143</v>
      </c>
      <c r="J178" s="199">
        <v>46165</v>
      </c>
      <c r="K178" s="192" t="s">
        <v>160</v>
      </c>
      <c r="L178" s="192" t="s">
        <v>295</v>
      </c>
      <c r="N178" s="224" t="s">
        <v>355</v>
      </c>
      <c r="O178" s="199">
        <v>46184</v>
      </c>
    </row>
    <row r="179" spans="2:15" ht="15.75" customHeight="1" x14ac:dyDescent="0.4">
      <c r="B179" s="196" t="s">
        <v>356</v>
      </c>
      <c r="C179" s="202">
        <v>46161</v>
      </c>
      <c r="D179" s="196" t="s">
        <v>154</v>
      </c>
      <c r="E179" s="196" t="s">
        <v>167</v>
      </c>
      <c r="F179" s="196" t="s">
        <v>159</v>
      </c>
      <c r="G179" s="192" t="s">
        <v>142</v>
      </c>
      <c r="H179" s="198">
        <v>46165</v>
      </c>
      <c r="I179" s="192" t="s">
        <v>143</v>
      </c>
      <c r="J179" s="199">
        <v>46165</v>
      </c>
      <c r="K179" s="192" t="s">
        <v>160</v>
      </c>
      <c r="L179" s="192" t="s">
        <v>184</v>
      </c>
    </row>
    <row r="180" spans="2:15" ht="15.75" customHeight="1" x14ac:dyDescent="0.4">
      <c r="B180" s="196" t="s">
        <v>357</v>
      </c>
      <c r="C180" s="202">
        <v>46161</v>
      </c>
      <c r="D180" s="196" t="s">
        <v>154</v>
      </c>
      <c r="E180" s="196" t="s">
        <v>167</v>
      </c>
      <c r="F180" s="196" t="s">
        <v>216</v>
      </c>
      <c r="G180" s="192" t="s">
        <v>294</v>
      </c>
      <c r="H180" s="198">
        <v>46165</v>
      </c>
      <c r="I180" s="192" t="s">
        <v>143</v>
      </c>
      <c r="J180" s="199">
        <v>46165</v>
      </c>
      <c r="K180" s="192" t="s">
        <v>160</v>
      </c>
      <c r="L180" s="192" t="s">
        <v>295</v>
      </c>
      <c r="N180" s="192" t="s">
        <v>358</v>
      </c>
      <c r="O180" s="199">
        <v>46189</v>
      </c>
    </row>
    <row r="181" spans="2:15" ht="15.75" customHeight="1" x14ac:dyDescent="0.4">
      <c r="B181" s="196" t="s">
        <v>359</v>
      </c>
      <c r="C181" s="202">
        <v>46161</v>
      </c>
      <c r="D181" s="196" t="s">
        <v>154</v>
      </c>
      <c r="E181" s="196" t="s">
        <v>180</v>
      </c>
      <c r="F181" s="196" t="s">
        <v>168</v>
      </c>
      <c r="G181" s="192" t="s">
        <v>142</v>
      </c>
      <c r="H181" s="198">
        <v>46165</v>
      </c>
      <c r="I181" s="192" t="s">
        <v>143</v>
      </c>
      <c r="J181" s="199">
        <v>46165</v>
      </c>
      <c r="K181" s="192" t="s">
        <v>160</v>
      </c>
      <c r="L181" s="192" t="s">
        <v>160</v>
      </c>
    </row>
    <row r="182" spans="2:15" ht="15.75" customHeight="1" x14ac:dyDescent="0.4">
      <c r="B182" s="196" t="s">
        <v>360</v>
      </c>
      <c r="C182" s="202">
        <v>46161</v>
      </c>
      <c r="D182" s="196" t="s">
        <v>154</v>
      </c>
      <c r="E182" s="196" t="s">
        <v>167</v>
      </c>
      <c r="F182" s="196" t="s">
        <v>189</v>
      </c>
      <c r="G182" s="192" t="s">
        <v>294</v>
      </c>
      <c r="H182" s="198">
        <v>46165</v>
      </c>
      <c r="I182" s="192" t="s">
        <v>143</v>
      </c>
      <c r="J182" s="199">
        <v>46165</v>
      </c>
      <c r="K182" s="192" t="s">
        <v>160</v>
      </c>
      <c r="L182" s="192" t="s">
        <v>295</v>
      </c>
      <c r="N182" s="224" t="s">
        <v>208</v>
      </c>
      <c r="O182" s="199">
        <v>46189</v>
      </c>
    </row>
    <row r="183" spans="2:15" ht="15.75" customHeight="1" x14ac:dyDescent="0.4">
      <c r="B183" s="196" t="s">
        <v>361</v>
      </c>
      <c r="C183" s="202">
        <v>46161</v>
      </c>
      <c r="D183" s="196" t="s">
        <v>154</v>
      </c>
      <c r="E183" s="193" t="s">
        <v>167</v>
      </c>
      <c r="F183" s="196"/>
      <c r="G183" s="192" t="s">
        <v>142</v>
      </c>
      <c r="H183" s="198">
        <v>46165</v>
      </c>
      <c r="I183" s="192" t="s">
        <v>143</v>
      </c>
      <c r="J183" s="199">
        <v>46174</v>
      </c>
      <c r="K183" s="192" t="s">
        <v>144</v>
      </c>
      <c r="L183" s="192" t="s">
        <v>144</v>
      </c>
    </row>
    <row r="184" spans="2:15" ht="15.75" customHeight="1" x14ac:dyDescent="0.4">
      <c r="B184" s="196" t="s">
        <v>362</v>
      </c>
      <c r="C184" s="202">
        <v>46161</v>
      </c>
      <c r="D184" s="196" t="s">
        <v>154</v>
      </c>
      <c r="E184" s="196" t="s">
        <v>167</v>
      </c>
      <c r="F184" s="196" t="s">
        <v>181</v>
      </c>
      <c r="G184" s="192" t="s">
        <v>142</v>
      </c>
      <c r="H184" s="198">
        <v>46165</v>
      </c>
      <c r="I184" s="192" t="s">
        <v>143</v>
      </c>
      <c r="J184" s="199">
        <v>46169</v>
      </c>
      <c r="K184" s="192" t="s">
        <v>160</v>
      </c>
      <c r="L184" s="192" t="s">
        <v>184</v>
      </c>
    </row>
    <row r="185" spans="2:15" ht="15.75" customHeight="1" x14ac:dyDescent="0.4">
      <c r="B185" s="196" t="s">
        <v>363</v>
      </c>
      <c r="C185" s="202">
        <v>46161</v>
      </c>
      <c r="D185" s="196" t="s">
        <v>154</v>
      </c>
      <c r="E185" s="196" t="s">
        <v>167</v>
      </c>
      <c r="F185" s="196" t="s">
        <v>181</v>
      </c>
      <c r="G185" s="192" t="s">
        <v>142</v>
      </c>
      <c r="H185" s="198">
        <v>46165</v>
      </c>
      <c r="I185" s="192" t="s">
        <v>143</v>
      </c>
      <c r="J185" s="199">
        <v>46175</v>
      </c>
      <c r="K185" s="192" t="s">
        <v>160</v>
      </c>
      <c r="L185" s="192" t="s">
        <v>184</v>
      </c>
    </row>
    <row r="186" spans="2:15" ht="15.75" customHeight="1" x14ac:dyDescent="0.4">
      <c r="B186" s="196" t="s">
        <v>364</v>
      </c>
      <c r="C186" s="202">
        <v>46161</v>
      </c>
      <c r="D186" s="196" t="s">
        <v>154</v>
      </c>
      <c r="E186" s="193" t="s">
        <v>167</v>
      </c>
      <c r="F186" s="196"/>
      <c r="G186" s="192" t="s">
        <v>142</v>
      </c>
      <c r="H186" s="198">
        <v>46165</v>
      </c>
      <c r="I186" s="192" t="s">
        <v>143</v>
      </c>
      <c r="J186" s="199">
        <v>46171</v>
      </c>
      <c r="K186" s="192" t="s">
        <v>144</v>
      </c>
      <c r="L186" s="192" t="s">
        <v>144</v>
      </c>
    </row>
    <row r="187" spans="2:15" ht="15.75" customHeight="1" x14ac:dyDescent="0.4">
      <c r="B187" s="196" t="s">
        <v>365</v>
      </c>
      <c r="C187" s="202">
        <v>46161</v>
      </c>
      <c r="D187" s="196" t="s">
        <v>173</v>
      </c>
      <c r="E187" s="196" t="s">
        <v>167</v>
      </c>
      <c r="F187" s="196" t="s">
        <v>181</v>
      </c>
      <c r="G187" s="192" t="s">
        <v>142</v>
      </c>
      <c r="H187" s="198">
        <v>46165</v>
      </c>
      <c r="I187" s="192" t="s">
        <v>143</v>
      </c>
      <c r="J187" s="199">
        <v>46165</v>
      </c>
      <c r="K187" s="192" t="s">
        <v>160</v>
      </c>
      <c r="L187" s="192" t="s">
        <v>160</v>
      </c>
    </row>
    <row r="188" spans="2:15" ht="15.75" customHeight="1" x14ac:dyDescent="0.4">
      <c r="B188" s="196" t="s">
        <v>366</v>
      </c>
      <c r="C188" s="212">
        <v>46177</v>
      </c>
      <c r="D188" s="196" t="s">
        <v>154</v>
      </c>
      <c r="G188" s="192" t="s">
        <v>151</v>
      </c>
      <c r="L188" s="192" t="s">
        <v>152</v>
      </c>
    </row>
    <row r="189" spans="2:15" ht="15.75" customHeight="1" x14ac:dyDescent="0.4">
      <c r="B189" s="196" t="s">
        <v>367</v>
      </c>
      <c r="C189" s="213">
        <v>46177</v>
      </c>
      <c r="D189" s="196" t="s">
        <v>154</v>
      </c>
      <c r="G189" s="192" t="s">
        <v>151</v>
      </c>
      <c r="L189" s="192" t="s">
        <v>152</v>
      </c>
    </row>
    <row r="190" spans="2:15" ht="15.75" customHeight="1" x14ac:dyDescent="0.4">
      <c r="B190" s="196" t="s">
        <v>368</v>
      </c>
      <c r="C190" s="213">
        <v>46177</v>
      </c>
      <c r="D190" s="196" t="s">
        <v>154</v>
      </c>
      <c r="G190" s="192" t="s">
        <v>151</v>
      </c>
      <c r="L190" s="192" t="s">
        <v>152</v>
      </c>
    </row>
    <row r="191" spans="2:15" ht="15.75" customHeight="1" x14ac:dyDescent="0.4">
      <c r="B191" s="196" t="s">
        <v>369</v>
      </c>
      <c r="C191" s="213">
        <v>46177</v>
      </c>
      <c r="D191" s="196" t="s">
        <v>154</v>
      </c>
      <c r="G191" s="192" t="s">
        <v>146</v>
      </c>
      <c r="H191" s="198">
        <v>46183</v>
      </c>
      <c r="I191" s="192" t="s">
        <v>147</v>
      </c>
      <c r="L191" s="192" t="s">
        <v>147</v>
      </c>
    </row>
    <row r="192" spans="2:15" ht="15.75" customHeight="1" x14ac:dyDescent="0.4">
      <c r="B192" s="196" t="s">
        <v>370</v>
      </c>
      <c r="C192" s="213">
        <v>46177</v>
      </c>
      <c r="D192" s="196" t="s">
        <v>154</v>
      </c>
      <c r="G192" s="192" t="s">
        <v>151</v>
      </c>
      <c r="L192" s="192" t="s">
        <v>152</v>
      </c>
    </row>
    <row r="193" spans="2:15" ht="15.75" customHeight="1" x14ac:dyDescent="0.4">
      <c r="B193" s="196" t="s">
        <v>371</v>
      </c>
      <c r="C193" s="213">
        <v>46177</v>
      </c>
      <c r="D193" s="196" t="s">
        <v>154</v>
      </c>
      <c r="G193" s="192" t="s">
        <v>151</v>
      </c>
      <c r="L193" s="192" t="s">
        <v>152</v>
      </c>
    </row>
    <row r="194" spans="2:15" ht="15.75" customHeight="1" x14ac:dyDescent="0.4">
      <c r="B194" s="196" t="s">
        <v>372</v>
      </c>
      <c r="C194" s="213">
        <v>46177</v>
      </c>
      <c r="D194" s="196" t="s">
        <v>154</v>
      </c>
      <c r="G194" s="192" t="s">
        <v>151</v>
      </c>
      <c r="L194" s="192" t="s">
        <v>152</v>
      </c>
    </row>
    <row r="195" spans="2:15" ht="15.75" customHeight="1" x14ac:dyDescent="0.4">
      <c r="B195" s="196" t="s">
        <v>373</v>
      </c>
      <c r="C195" s="213">
        <v>46177</v>
      </c>
      <c r="D195" s="196" t="s">
        <v>154</v>
      </c>
      <c r="G195" s="192" t="s">
        <v>142</v>
      </c>
      <c r="H195" s="198">
        <v>46182</v>
      </c>
      <c r="I195" s="192" t="s">
        <v>143</v>
      </c>
      <c r="K195" s="199">
        <v>46190</v>
      </c>
      <c r="L195" s="192" t="s">
        <v>144</v>
      </c>
    </row>
    <row r="196" spans="2:15" ht="15.75" customHeight="1" x14ac:dyDescent="0.4">
      <c r="B196" s="196" t="s">
        <v>374</v>
      </c>
      <c r="C196" s="213">
        <v>46177</v>
      </c>
      <c r="D196" s="196" t="s">
        <v>154</v>
      </c>
      <c r="G196" s="192" t="s">
        <v>151</v>
      </c>
      <c r="L196" s="192" t="s">
        <v>152</v>
      </c>
    </row>
    <row r="197" spans="2:15" ht="15.75" customHeight="1" x14ac:dyDescent="0.4">
      <c r="B197" s="196" t="s">
        <v>375</v>
      </c>
      <c r="C197" s="213">
        <v>46177</v>
      </c>
      <c r="D197" s="196" t="s">
        <v>154</v>
      </c>
      <c r="G197" s="192" t="s">
        <v>146</v>
      </c>
      <c r="H197" s="198">
        <v>46182</v>
      </c>
      <c r="I197" s="192" t="s">
        <v>147</v>
      </c>
      <c r="L197" s="192" t="s">
        <v>147</v>
      </c>
    </row>
    <row r="198" spans="2:15" ht="15.75" customHeight="1" x14ac:dyDescent="0.4">
      <c r="B198" s="196" t="s">
        <v>376</v>
      </c>
      <c r="C198" s="213">
        <v>46177</v>
      </c>
      <c r="D198" s="196" t="s">
        <v>75</v>
      </c>
      <c r="G198" s="192" t="s">
        <v>146</v>
      </c>
      <c r="H198" s="198">
        <v>46182</v>
      </c>
      <c r="I198" s="192" t="s">
        <v>147</v>
      </c>
      <c r="L198" s="192" t="s">
        <v>147</v>
      </c>
    </row>
    <row r="199" spans="2:15" ht="15.75" customHeight="1" x14ac:dyDescent="0.4">
      <c r="B199" s="196" t="s">
        <v>377</v>
      </c>
      <c r="C199" s="213">
        <v>46177</v>
      </c>
      <c r="D199" s="196" t="s">
        <v>154</v>
      </c>
      <c r="G199" s="192" t="s">
        <v>151</v>
      </c>
      <c r="L199" s="192" t="s">
        <v>152</v>
      </c>
    </row>
    <row r="200" spans="2:15" ht="15.75" customHeight="1" x14ac:dyDescent="0.4">
      <c r="B200" s="196" t="s">
        <v>378</v>
      </c>
      <c r="C200" s="213">
        <v>46177</v>
      </c>
      <c r="D200" s="196" t="s">
        <v>154</v>
      </c>
      <c r="G200" s="192" t="s">
        <v>146</v>
      </c>
      <c r="H200" s="198">
        <v>46182</v>
      </c>
      <c r="I200" s="192" t="s">
        <v>147</v>
      </c>
      <c r="L200" s="192" t="s">
        <v>147</v>
      </c>
    </row>
    <row r="201" spans="2:15" ht="15.75" customHeight="1" x14ac:dyDescent="0.4">
      <c r="B201" s="196" t="s">
        <v>379</v>
      </c>
      <c r="C201" s="213">
        <v>46177</v>
      </c>
      <c r="D201" s="196" t="s">
        <v>154</v>
      </c>
      <c r="G201" s="192" t="s">
        <v>151</v>
      </c>
      <c r="L201" s="192" t="s">
        <v>152</v>
      </c>
    </row>
    <row r="202" spans="2:15" ht="15.75" customHeight="1" x14ac:dyDescent="0.4">
      <c r="B202" s="196" t="s">
        <v>380</v>
      </c>
      <c r="C202" s="213">
        <v>46177</v>
      </c>
      <c r="D202" s="196" t="s">
        <v>75</v>
      </c>
      <c r="G202" s="192" t="s">
        <v>142</v>
      </c>
      <c r="H202" s="198">
        <v>46188</v>
      </c>
      <c r="L202" s="192" t="s">
        <v>381</v>
      </c>
    </row>
    <row r="203" spans="2:15" ht="15.75" customHeight="1" x14ac:dyDescent="0.4">
      <c r="B203" s="196" t="s">
        <v>382</v>
      </c>
      <c r="C203" s="213">
        <v>46177</v>
      </c>
      <c r="D203" s="196" t="s">
        <v>75</v>
      </c>
      <c r="E203" s="196" t="s">
        <v>188</v>
      </c>
      <c r="F203" s="196" t="s">
        <v>262</v>
      </c>
      <c r="G203" s="192" t="s">
        <v>142</v>
      </c>
      <c r="H203" s="198">
        <v>46181</v>
      </c>
      <c r="I203" s="192" t="s">
        <v>143</v>
      </c>
      <c r="J203" s="199">
        <v>46182</v>
      </c>
      <c r="K203" s="192" t="s">
        <v>160</v>
      </c>
      <c r="L203" s="192" t="s">
        <v>274</v>
      </c>
      <c r="N203" s="224" t="s">
        <v>383</v>
      </c>
      <c r="O203" s="199">
        <v>46184</v>
      </c>
    </row>
    <row r="204" spans="2:15" ht="15.75" customHeight="1" x14ac:dyDescent="0.4">
      <c r="B204" s="196" t="s">
        <v>384</v>
      </c>
      <c r="C204" s="213">
        <v>46177</v>
      </c>
      <c r="D204" s="196" t="s">
        <v>75</v>
      </c>
      <c r="G204" s="192" t="s">
        <v>151</v>
      </c>
      <c r="L204" s="192" t="s">
        <v>152</v>
      </c>
    </row>
    <row r="205" spans="2:15" ht="15.75" customHeight="1" x14ac:dyDescent="0.4">
      <c r="B205" s="196" t="s">
        <v>385</v>
      </c>
      <c r="C205" s="213">
        <v>46177</v>
      </c>
      <c r="D205" s="196" t="s">
        <v>75</v>
      </c>
      <c r="G205" s="192" t="s">
        <v>146</v>
      </c>
      <c r="H205" s="198">
        <v>46178</v>
      </c>
      <c r="I205" s="192" t="s">
        <v>147</v>
      </c>
      <c r="L205" s="192" t="s">
        <v>147</v>
      </c>
    </row>
    <row r="206" spans="2:15" ht="15.75" customHeight="1" x14ac:dyDescent="0.4">
      <c r="B206" s="214" t="s">
        <v>386</v>
      </c>
      <c r="C206" s="212">
        <v>46179</v>
      </c>
      <c r="D206" s="214" t="s">
        <v>154</v>
      </c>
      <c r="G206" s="192" t="s">
        <v>151</v>
      </c>
      <c r="L206" s="192" t="s">
        <v>152</v>
      </c>
    </row>
    <row r="207" spans="2:15" ht="15.75" customHeight="1" x14ac:dyDescent="0.4">
      <c r="B207" s="215" t="s">
        <v>387</v>
      </c>
      <c r="C207" s="213">
        <v>46179</v>
      </c>
      <c r="D207" s="215" t="s">
        <v>165</v>
      </c>
      <c r="G207" s="192" t="s">
        <v>151</v>
      </c>
      <c r="L207" s="192" t="s">
        <v>152</v>
      </c>
    </row>
    <row r="208" spans="2:15" ht="15.75" customHeight="1" x14ac:dyDescent="0.4">
      <c r="B208" s="215" t="s">
        <v>388</v>
      </c>
      <c r="C208" s="213">
        <v>46179</v>
      </c>
      <c r="D208" s="215" t="s">
        <v>154</v>
      </c>
      <c r="G208" s="192" t="s">
        <v>142</v>
      </c>
      <c r="H208" s="198">
        <v>46181</v>
      </c>
      <c r="I208" s="192" t="s">
        <v>143</v>
      </c>
      <c r="J208" s="199">
        <v>46184</v>
      </c>
      <c r="L208" s="192" t="s">
        <v>144</v>
      </c>
    </row>
    <row r="209" spans="2:12" ht="15.75" customHeight="1" x14ac:dyDescent="0.4">
      <c r="B209" s="215" t="s">
        <v>389</v>
      </c>
      <c r="C209" s="213">
        <v>46179</v>
      </c>
      <c r="D209" s="215" t="s">
        <v>165</v>
      </c>
      <c r="G209" s="192" t="s">
        <v>146</v>
      </c>
      <c r="H209" s="198">
        <v>46181</v>
      </c>
      <c r="I209" s="192" t="s">
        <v>147</v>
      </c>
      <c r="L209" s="192" t="s">
        <v>147</v>
      </c>
    </row>
    <row r="210" spans="2:12" ht="15.75" customHeight="1" x14ac:dyDescent="0.4">
      <c r="B210" s="215" t="s">
        <v>390</v>
      </c>
      <c r="C210" s="213">
        <v>46179</v>
      </c>
      <c r="D210" s="215" t="s">
        <v>154</v>
      </c>
      <c r="G210" s="192" t="s">
        <v>142</v>
      </c>
      <c r="H210" s="198">
        <v>46188</v>
      </c>
      <c r="L210" s="192" t="s">
        <v>235</v>
      </c>
    </row>
    <row r="211" spans="2:12" ht="15.75" customHeight="1" x14ac:dyDescent="0.4">
      <c r="B211" s="215" t="s">
        <v>391</v>
      </c>
      <c r="C211" s="213">
        <v>46179</v>
      </c>
      <c r="D211" s="215" t="s">
        <v>154</v>
      </c>
      <c r="G211" s="192" t="s">
        <v>151</v>
      </c>
      <c r="L211" s="192" t="s">
        <v>152</v>
      </c>
    </row>
    <row r="212" spans="2:12" ht="15.75" customHeight="1" x14ac:dyDescent="0.4">
      <c r="B212" s="215" t="s">
        <v>392</v>
      </c>
      <c r="C212" s="213">
        <v>46179</v>
      </c>
      <c r="D212" s="215" t="s">
        <v>154</v>
      </c>
      <c r="G212" s="192" t="s">
        <v>146</v>
      </c>
      <c r="H212" s="198">
        <v>46183</v>
      </c>
      <c r="I212" s="192" t="s">
        <v>147</v>
      </c>
      <c r="L212" s="192" t="s">
        <v>147</v>
      </c>
    </row>
    <row r="213" spans="2:12" ht="15.75" customHeight="1" x14ac:dyDescent="0.4">
      <c r="B213" s="215" t="s">
        <v>393</v>
      </c>
      <c r="C213" s="213">
        <v>46179</v>
      </c>
      <c r="D213" s="215" t="s">
        <v>165</v>
      </c>
      <c r="G213" s="192" t="s">
        <v>151</v>
      </c>
      <c r="L213" s="192" t="s">
        <v>152</v>
      </c>
    </row>
    <row r="214" spans="2:12" ht="15.75" customHeight="1" x14ac:dyDescent="0.4">
      <c r="B214" s="215" t="s">
        <v>394</v>
      </c>
      <c r="C214" s="213">
        <v>46179</v>
      </c>
      <c r="D214" s="215" t="s">
        <v>165</v>
      </c>
      <c r="G214" s="192" t="s">
        <v>142</v>
      </c>
      <c r="H214" s="198">
        <v>46182</v>
      </c>
      <c r="I214" s="192" t="s">
        <v>143</v>
      </c>
      <c r="L214" s="192" t="s">
        <v>235</v>
      </c>
    </row>
    <row r="215" spans="2:12" ht="15.75" customHeight="1" x14ac:dyDescent="0.4">
      <c r="B215" s="216" t="s">
        <v>395</v>
      </c>
      <c r="C215" s="202">
        <v>46181</v>
      </c>
      <c r="D215" s="192" t="s">
        <v>165</v>
      </c>
      <c r="G215" s="192" t="s">
        <v>146</v>
      </c>
      <c r="H215" s="198">
        <v>46185</v>
      </c>
      <c r="I215" s="192" t="s">
        <v>147</v>
      </c>
      <c r="L215" s="192" t="s">
        <v>147</v>
      </c>
    </row>
    <row r="216" spans="2:12" ht="15.75" customHeight="1" x14ac:dyDescent="0.4">
      <c r="B216" s="216" t="s">
        <v>396</v>
      </c>
      <c r="C216" s="212">
        <v>46182</v>
      </c>
      <c r="D216" s="214" t="s">
        <v>75</v>
      </c>
      <c r="G216" s="192" t="s">
        <v>151</v>
      </c>
      <c r="I216" s="192" t="s">
        <v>143</v>
      </c>
      <c r="J216" s="199">
        <v>46185</v>
      </c>
      <c r="K216" s="192" t="s">
        <v>144</v>
      </c>
      <c r="L216" s="192" t="s">
        <v>144</v>
      </c>
    </row>
    <row r="217" spans="2:12" ht="15.75" customHeight="1" x14ac:dyDescent="0.4">
      <c r="B217" s="217" t="s">
        <v>397</v>
      </c>
      <c r="C217" s="213">
        <v>46182</v>
      </c>
      <c r="D217" s="215" t="s">
        <v>75</v>
      </c>
      <c r="G217" s="192" t="s">
        <v>146</v>
      </c>
      <c r="H217" s="198">
        <v>46183</v>
      </c>
      <c r="I217" s="192" t="s">
        <v>147</v>
      </c>
      <c r="L217" s="192" t="s">
        <v>147</v>
      </c>
    </row>
    <row r="218" spans="2:12" ht="15.75" customHeight="1" x14ac:dyDescent="0.4">
      <c r="B218" s="217" t="s">
        <v>398</v>
      </c>
      <c r="C218" s="213">
        <v>46182</v>
      </c>
      <c r="D218" s="220" t="s">
        <v>165</v>
      </c>
      <c r="G218" s="192" t="s">
        <v>146</v>
      </c>
      <c r="H218" s="198">
        <v>46183</v>
      </c>
      <c r="I218" s="192" t="s">
        <v>147</v>
      </c>
      <c r="L218" s="192" t="s">
        <v>147</v>
      </c>
    </row>
    <row r="219" spans="2:12" ht="15.75" customHeight="1" x14ac:dyDescent="0.4">
      <c r="B219" s="217" t="s">
        <v>399</v>
      </c>
      <c r="C219" s="213">
        <v>46182</v>
      </c>
      <c r="D219" s="221" t="s">
        <v>165</v>
      </c>
      <c r="G219" s="192" t="s">
        <v>146</v>
      </c>
      <c r="H219" s="198">
        <v>46183</v>
      </c>
      <c r="I219" s="192" t="s">
        <v>147</v>
      </c>
      <c r="L219" s="192" t="s">
        <v>147</v>
      </c>
    </row>
    <row r="220" spans="2:12" ht="15.75" customHeight="1" x14ac:dyDescent="0.4">
      <c r="B220" s="217" t="s">
        <v>400</v>
      </c>
      <c r="C220" s="213">
        <v>46182</v>
      </c>
      <c r="D220" s="221" t="s">
        <v>165</v>
      </c>
      <c r="G220" s="192" t="s">
        <v>146</v>
      </c>
      <c r="H220" s="198">
        <v>46183</v>
      </c>
      <c r="I220" s="192" t="s">
        <v>147</v>
      </c>
      <c r="L220" s="192" t="s">
        <v>147</v>
      </c>
    </row>
    <row r="221" spans="2:12" ht="15.75" customHeight="1" x14ac:dyDescent="0.4">
      <c r="B221" s="217" t="s">
        <v>401</v>
      </c>
      <c r="C221" s="213">
        <v>46182</v>
      </c>
      <c r="D221" s="221" t="s">
        <v>165</v>
      </c>
      <c r="G221" s="192" t="s">
        <v>151</v>
      </c>
      <c r="L221" s="192" t="s">
        <v>152</v>
      </c>
    </row>
    <row r="222" spans="2:12" ht="15.75" customHeight="1" x14ac:dyDescent="0.4">
      <c r="B222" s="217" t="s">
        <v>402</v>
      </c>
      <c r="C222" s="213">
        <v>46182</v>
      </c>
      <c r="D222" s="218" t="s">
        <v>154</v>
      </c>
      <c r="G222" s="192" t="s">
        <v>146</v>
      </c>
      <c r="H222" s="198">
        <v>46185</v>
      </c>
      <c r="I222" s="198" t="s">
        <v>143</v>
      </c>
      <c r="K222" s="192" t="s">
        <v>144</v>
      </c>
      <c r="L222" s="192" t="s">
        <v>144</v>
      </c>
    </row>
    <row r="223" spans="2:12" ht="15.75" customHeight="1" x14ac:dyDescent="0.4">
      <c r="B223" s="217" t="s">
        <v>403</v>
      </c>
      <c r="C223" s="213">
        <v>46182</v>
      </c>
      <c r="D223" s="220" t="s">
        <v>165</v>
      </c>
      <c r="G223" s="192" t="s">
        <v>151</v>
      </c>
      <c r="L223" s="192" t="s">
        <v>152</v>
      </c>
    </row>
    <row r="224" spans="2:12" ht="15.75" customHeight="1" x14ac:dyDescent="0.4">
      <c r="B224" s="217" t="s">
        <v>404</v>
      </c>
      <c r="C224" s="213">
        <v>46182</v>
      </c>
      <c r="D224" s="221" t="s">
        <v>165</v>
      </c>
      <c r="G224" s="192" t="s">
        <v>146</v>
      </c>
      <c r="H224" s="198">
        <v>46184</v>
      </c>
      <c r="I224" s="192" t="s">
        <v>147</v>
      </c>
      <c r="L224" s="192" t="s">
        <v>147</v>
      </c>
    </row>
    <row r="225" spans="2:12" ht="15.75" customHeight="1" x14ac:dyDescent="0.4">
      <c r="B225" s="217" t="s">
        <v>405</v>
      </c>
      <c r="C225" s="213">
        <v>46182</v>
      </c>
      <c r="D225" s="218" t="s">
        <v>154</v>
      </c>
      <c r="G225" s="192" t="s">
        <v>142</v>
      </c>
      <c r="L225" s="192" t="s">
        <v>152</v>
      </c>
    </row>
    <row r="226" spans="2:12" ht="15.75" customHeight="1" x14ac:dyDescent="0.4">
      <c r="B226" s="217" t="s">
        <v>406</v>
      </c>
      <c r="C226" s="213">
        <v>46182</v>
      </c>
      <c r="D226" s="219" t="s">
        <v>154</v>
      </c>
      <c r="G226" s="192" t="s">
        <v>146</v>
      </c>
      <c r="H226" s="198">
        <v>46184</v>
      </c>
      <c r="I226" s="192" t="s">
        <v>147</v>
      </c>
      <c r="L226" s="192" t="s">
        <v>147</v>
      </c>
    </row>
    <row r="227" spans="2:12" ht="15.75" customHeight="1" x14ac:dyDescent="0.4">
      <c r="B227" s="217" t="s">
        <v>407</v>
      </c>
      <c r="C227" s="213">
        <v>46182</v>
      </c>
      <c r="D227" s="219" t="s">
        <v>154</v>
      </c>
      <c r="G227" s="192" t="s">
        <v>146</v>
      </c>
      <c r="H227" s="198">
        <v>46183</v>
      </c>
      <c r="I227" s="192" t="s">
        <v>147</v>
      </c>
      <c r="L227" s="192" t="s">
        <v>147</v>
      </c>
    </row>
    <row r="228" spans="2:12" ht="15.75" customHeight="1" x14ac:dyDescent="0.4">
      <c r="B228" s="217" t="s">
        <v>408</v>
      </c>
      <c r="C228" s="198">
        <v>46184</v>
      </c>
      <c r="D228" s="220" t="s">
        <v>165</v>
      </c>
      <c r="G228" s="192" t="s">
        <v>151</v>
      </c>
      <c r="L228" s="192" t="s">
        <v>152</v>
      </c>
    </row>
    <row r="229" spans="2:12" ht="15.75" customHeight="1" x14ac:dyDescent="0.4">
      <c r="B229" s="217" t="s">
        <v>409</v>
      </c>
      <c r="C229" s="213">
        <v>46182</v>
      </c>
      <c r="D229" s="221" t="s">
        <v>165</v>
      </c>
      <c r="G229" s="192" t="s">
        <v>146</v>
      </c>
      <c r="H229" s="198">
        <v>46190</v>
      </c>
      <c r="I229" s="192" t="s">
        <v>147</v>
      </c>
      <c r="L229" s="192" t="s">
        <v>147</v>
      </c>
    </row>
    <row r="230" spans="2:12" ht="15.75" customHeight="1" x14ac:dyDescent="0.4">
      <c r="B230" s="217" t="s">
        <v>410</v>
      </c>
      <c r="C230" s="213">
        <v>46182</v>
      </c>
      <c r="D230" s="221" t="s">
        <v>165</v>
      </c>
      <c r="G230" s="192" t="s">
        <v>151</v>
      </c>
      <c r="L230" s="192" t="s">
        <v>152</v>
      </c>
    </row>
    <row r="231" spans="2:12" ht="15.75" customHeight="1" x14ac:dyDescent="0.4">
      <c r="B231" s="218" t="s">
        <v>411</v>
      </c>
      <c r="C231" s="213">
        <v>46182</v>
      </c>
      <c r="D231" s="214" t="s">
        <v>75</v>
      </c>
      <c r="G231" s="192" t="s">
        <v>151</v>
      </c>
      <c r="L231" s="192" t="s">
        <v>152</v>
      </c>
    </row>
    <row r="232" spans="2:12" ht="15.75" customHeight="1" x14ac:dyDescent="0.4">
      <c r="B232" s="219" t="s">
        <v>412</v>
      </c>
      <c r="C232" s="213">
        <v>46182</v>
      </c>
      <c r="D232" s="215" t="s">
        <v>75</v>
      </c>
      <c r="G232" s="192" t="s">
        <v>151</v>
      </c>
      <c r="L232" s="192" t="s">
        <v>152</v>
      </c>
    </row>
    <row r="233" spans="2:12" ht="15.75" customHeight="1" x14ac:dyDescent="0.4">
      <c r="B233" s="219" t="s">
        <v>413</v>
      </c>
      <c r="C233" s="213">
        <v>46182</v>
      </c>
      <c r="D233" s="215" t="s">
        <v>75</v>
      </c>
      <c r="G233" s="192" t="s">
        <v>151</v>
      </c>
      <c r="L233" s="192" t="s">
        <v>152</v>
      </c>
    </row>
    <row r="234" spans="2:12" ht="15.75" customHeight="1" x14ac:dyDescent="0.4">
      <c r="B234" s="219" t="s">
        <v>414</v>
      </c>
      <c r="C234" s="213">
        <v>46182</v>
      </c>
      <c r="D234" s="215" t="s">
        <v>75</v>
      </c>
      <c r="G234" s="192" t="s">
        <v>151</v>
      </c>
      <c r="L234" s="192" t="s">
        <v>152</v>
      </c>
    </row>
    <row r="235" spans="2:12" ht="15.75" customHeight="1" x14ac:dyDescent="0.4">
      <c r="B235" s="219" t="s">
        <v>415</v>
      </c>
      <c r="C235" s="213">
        <v>46182</v>
      </c>
      <c r="D235" s="215" t="s">
        <v>75</v>
      </c>
      <c r="G235" s="192" t="s">
        <v>151</v>
      </c>
      <c r="L235" s="192" t="s">
        <v>152</v>
      </c>
    </row>
    <row r="236" spans="2:12" ht="15.75" customHeight="1" x14ac:dyDescent="0.4">
      <c r="B236" s="223" t="s">
        <v>416</v>
      </c>
      <c r="C236" s="213">
        <v>46183</v>
      </c>
      <c r="D236" s="215" t="s">
        <v>75</v>
      </c>
      <c r="G236" s="192" t="s">
        <v>151</v>
      </c>
      <c r="L236" s="192" t="s">
        <v>152</v>
      </c>
    </row>
    <row r="237" spans="2:12" ht="15.75" customHeight="1" x14ac:dyDescent="0.4">
      <c r="B237" s="223" t="s">
        <v>417</v>
      </c>
      <c r="C237" s="213">
        <v>46183</v>
      </c>
      <c r="D237" s="215" t="s">
        <v>75</v>
      </c>
      <c r="G237" s="192" t="s">
        <v>151</v>
      </c>
      <c r="L237" s="192" t="s">
        <v>152</v>
      </c>
    </row>
    <row r="238" spans="2:12" ht="15.75" customHeight="1" x14ac:dyDescent="0.4">
      <c r="B238" s="223" t="s">
        <v>418</v>
      </c>
      <c r="C238" s="213">
        <v>46183</v>
      </c>
      <c r="D238" s="215" t="s">
        <v>75</v>
      </c>
      <c r="G238" s="192" t="s">
        <v>151</v>
      </c>
      <c r="L238" s="192" t="s">
        <v>152</v>
      </c>
    </row>
    <row r="239" spans="2:12" ht="15.75" customHeight="1" x14ac:dyDescent="0.4">
      <c r="B239" s="223" t="s">
        <v>419</v>
      </c>
      <c r="C239" s="213">
        <v>46183</v>
      </c>
      <c r="D239" s="215" t="s">
        <v>75</v>
      </c>
      <c r="G239" s="192" t="s">
        <v>151</v>
      </c>
      <c r="L239" s="192" t="s">
        <v>152</v>
      </c>
    </row>
    <row r="240" spans="2:12" ht="15.75" customHeight="1" x14ac:dyDescent="0.4">
      <c r="B240" s="223" t="s">
        <v>420</v>
      </c>
      <c r="C240" s="213">
        <v>46183</v>
      </c>
      <c r="D240" s="215" t="s">
        <v>75</v>
      </c>
      <c r="G240" s="192" t="s">
        <v>151</v>
      </c>
      <c r="L240" s="192" t="s">
        <v>152</v>
      </c>
    </row>
    <row r="241" spans="2:12" ht="15.75" customHeight="1" x14ac:dyDescent="0.4">
      <c r="B241" s="216" t="s">
        <v>421</v>
      </c>
      <c r="C241" s="213">
        <v>46183</v>
      </c>
      <c r="D241" s="218" t="s">
        <v>165</v>
      </c>
      <c r="G241" s="192" t="s">
        <v>142</v>
      </c>
      <c r="H241" s="198">
        <v>46184</v>
      </c>
      <c r="L241" s="192" t="s">
        <v>152</v>
      </c>
    </row>
    <row r="242" spans="2:12" ht="15.75" customHeight="1" x14ac:dyDescent="0.4">
      <c r="B242" s="217" t="s">
        <v>422</v>
      </c>
      <c r="C242" s="213">
        <v>46183</v>
      </c>
      <c r="D242" s="218" t="s">
        <v>154</v>
      </c>
      <c r="G242" s="192" t="s">
        <v>146</v>
      </c>
      <c r="H242" s="198">
        <v>46184</v>
      </c>
      <c r="I242" s="192" t="s">
        <v>147</v>
      </c>
      <c r="L242" s="192" t="s">
        <v>147</v>
      </c>
    </row>
    <row r="243" spans="2:12" ht="15.75" customHeight="1" x14ac:dyDescent="0.4">
      <c r="B243" s="217" t="s">
        <v>423</v>
      </c>
      <c r="C243" s="213">
        <v>46183</v>
      </c>
      <c r="D243" s="218" t="s">
        <v>165</v>
      </c>
      <c r="G243" s="192" t="s">
        <v>151</v>
      </c>
      <c r="L243" s="192" t="s">
        <v>152</v>
      </c>
    </row>
    <row r="244" spans="2:12" ht="15.75" customHeight="1" x14ac:dyDescent="0.4">
      <c r="B244" s="217" t="s">
        <v>424</v>
      </c>
      <c r="C244" s="213">
        <v>46183</v>
      </c>
      <c r="D244" s="218" t="s">
        <v>165</v>
      </c>
      <c r="G244" s="192" t="s">
        <v>146</v>
      </c>
      <c r="H244" s="198">
        <v>46185</v>
      </c>
      <c r="I244" s="192" t="s">
        <v>147</v>
      </c>
      <c r="L244" s="192" t="s">
        <v>147</v>
      </c>
    </row>
    <row r="245" spans="2:12" ht="15.75" customHeight="1" x14ac:dyDescent="0.4">
      <c r="B245" s="217" t="s">
        <v>425</v>
      </c>
      <c r="C245" s="213">
        <v>46183</v>
      </c>
      <c r="D245" s="218" t="s">
        <v>165</v>
      </c>
      <c r="G245" s="192" t="s">
        <v>151</v>
      </c>
      <c r="L245" s="192" t="s">
        <v>152</v>
      </c>
    </row>
    <row r="246" spans="2:12" ht="15.75" customHeight="1" x14ac:dyDescent="0.4">
      <c r="B246" s="217" t="s">
        <v>426</v>
      </c>
      <c r="C246" s="213">
        <v>46183</v>
      </c>
      <c r="D246" s="218" t="s">
        <v>165</v>
      </c>
      <c r="G246" s="192" t="s">
        <v>151</v>
      </c>
      <c r="L246" s="192" t="s">
        <v>152</v>
      </c>
    </row>
    <row r="247" spans="2:12" ht="15.75" customHeight="1" x14ac:dyDescent="0.4">
      <c r="B247" s="217" t="s">
        <v>427</v>
      </c>
      <c r="C247" s="213">
        <v>46183</v>
      </c>
      <c r="D247" s="218" t="s">
        <v>154</v>
      </c>
      <c r="G247" s="192" t="s">
        <v>151</v>
      </c>
      <c r="L247" s="192" t="s">
        <v>152</v>
      </c>
    </row>
    <row r="248" spans="2:12" ht="15.75" customHeight="1" x14ac:dyDescent="0.4">
      <c r="B248" s="217" t="s">
        <v>428</v>
      </c>
      <c r="C248" s="213">
        <v>46183</v>
      </c>
      <c r="D248" s="218" t="s">
        <v>165</v>
      </c>
      <c r="G248" s="192" t="s">
        <v>151</v>
      </c>
      <c r="H248" s="198">
        <v>46188</v>
      </c>
      <c r="I248" s="192" t="s">
        <v>147</v>
      </c>
      <c r="L248" s="192" t="s">
        <v>147</v>
      </c>
    </row>
    <row r="249" spans="2:12" ht="15.75" customHeight="1" x14ac:dyDescent="0.4">
      <c r="B249" s="217" t="s">
        <v>429</v>
      </c>
      <c r="C249" s="213">
        <v>46183</v>
      </c>
      <c r="D249" s="218" t="s">
        <v>165</v>
      </c>
      <c r="G249" s="192" t="s">
        <v>151</v>
      </c>
      <c r="L249" s="192" t="s">
        <v>152</v>
      </c>
    </row>
    <row r="250" spans="2:12" ht="15.75" customHeight="1" x14ac:dyDescent="0.4">
      <c r="B250" s="217" t="s">
        <v>430</v>
      </c>
      <c r="C250" s="213">
        <v>46183</v>
      </c>
      <c r="D250" s="218" t="s">
        <v>165</v>
      </c>
      <c r="G250" s="192" t="s">
        <v>151</v>
      </c>
      <c r="L250" s="192" t="s">
        <v>152</v>
      </c>
    </row>
    <row r="251" spans="2:12" ht="15.75" customHeight="1" x14ac:dyDescent="0.4">
      <c r="B251" s="216" t="s">
        <v>431</v>
      </c>
      <c r="C251" s="212">
        <v>46184</v>
      </c>
      <c r="D251" s="218" t="s">
        <v>154</v>
      </c>
      <c r="G251" s="192" t="s">
        <v>142</v>
      </c>
      <c r="L251" s="192" t="s">
        <v>152</v>
      </c>
    </row>
    <row r="252" spans="2:12" ht="15.75" customHeight="1" x14ac:dyDescent="0.4">
      <c r="B252" s="217" t="s">
        <v>432</v>
      </c>
      <c r="C252" s="213">
        <v>46184</v>
      </c>
      <c r="D252" s="218" t="s">
        <v>165</v>
      </c>
      <c r="G252" s="192" t="s">
        <v>142</v>
      </c>
      <c r="H252" s="198">
        <v>46185</v>
      </c>
      <c r="I252" s="192" t="s">
        <v>143</v>
      </c>
      <c r="J252" s="199">
        <v>46192</v>
      </c>
      <c r="L252" s="192" t="s">
        <v>265</v>
      </c>
    </row>
    <row r="253" spans="2:12" ht="15.75" customHeight="1" x14ac:dyDescent="0.4">
      <c r="B253" s="217" t="s">
        <v>433</v>
      </c>
      <c r="C253" s="213">
        <v>46184</v>
      </c>
      <c r="D253" s="218" t="s">
        <v>154</v>
      </c>
      <c r="G253" s="192" t="s">
        <v>146</v>
      </c>
      <c r="H253" s="198">
        <v>46185</v>
      </c>
      <c r="I253" s="192" t="s">
        <v>147</v>
      </c>
      <c r="L253" s="192" t="s">
        <v>147</v>
      </c>
    </row>
    <row r="254" spans="2:12" ht="15.75" customHeight="1" x14ac:dyDescent="0.4">
      <c r="B254" s="217" t="s">
        <v>434</v>
      </c>
      <c r="C254" s="213">
        <v>46184</v>
      </c>
      <c r="D254" s="218" t="s">
        <v>154</v>
      </c>
      <c r="G254" s="192" t="s">
        <v>142</v>
      </c>
      <c r="L254" s="192" t="s">
        <v>152</v>
      </c>
    </row>
    <row r="255" spans="2:12" ht="15.75" customHeight="1" x14ac:dyDescent="0.4">
      <c r="B255" s="226" t="s">
        <v>435</v>
      </c>
      <c r="C255" s="213">
        <v>46184</v>
      </c>
      <c r="D255" s="218" t="s">
        <v>165</v>
      </c>
      <c r="G255" s="192" t="s">
        <v>151</v>
      </c>
      <c r="L255" s="192" t="s">
        <v>152</v>
      </c>
    </row>
    <row r="256" spans="2:12" ht="15.75" customHeight="1" x14ac:dyDescent="0.4">
      <c r="B256" s="226" t="s">
        <v>286</v>
      </c>
      <c r="C256" s="213">
        <v>46184</v>
      </c>
      <c r="D256" s="218" t="s">
        <v>165</v>
      </c>
      <c r="G256" s="192" t="s">
        <v>151</v>
      </c>
      <c r="L256" s="192" t="s">
        <v>152</v>
      </c>
    </row>
    <row r="257" spans="2:12" ht="15.75" customHeight="1" x14ac:dyDescent="0.4">
      <c r="B257" s="226" t="s">
        <v>436</v>
      </c>
      <c r="C257" s="213">
        <v>46184</v>
      </c>
      <c r="D257" s="218" t="s">
        <v>165</v>
      </c>
      <c r="G257" s="192" t="s">
        <v>151</v>
      </c>
      <c r="L257" s="192" t="s">
        <v>152</v>
      </c>
    </row>
    <row r="258" spans="2:12" ht="15.75" customHeight="1" x14ac:dyDescent="0.4">
      <c r="B258" s="226" t="s">
        <v>437</v>
      </c>
      <c r="C258" s="213">
        <v>46184</v>
      </c>
      <c r="D258" s="218" t="s">
        <v>165</v>
      </c>
      <c r="G258" s="192" t="s">
        <v>151</v>
      </c>
      <c r="L258" s="192" t="s">
        <v>152</v>
      </c>
    </row>
    <row r="259" spans="2:12" ht="15.75" customHeight="1" x14ac:dyDescent="0.4">
      <c r="B259" s="226" t="s">
        <v>438</v>
      </c>
      <c r="C259" s="213">
        <v>46184</v>
      </c>
      <c r="D259" s="218" t="s">
        <v>165</v>
      </c>
      <c r="G259" s="192" t="s">
        <v>151</v>
      </c>
      <c r="L259" s="192" t="s">
        <v>152</v>
      </c>
    </row>
    <row r="260" spans="2:12" ht="15.75" customHeight="1" x14ac:dyDescent="0.4">
      <c r="B260" s="216" t="s">
        <v>439</v>
      </c>
      <c r="C260" s="212">
        <v>46185</v>
      </c>
      <c r="D260" s="218" t="s">
        <v>165</v>
      </c>
      <c r="G260" s="192" t="s">
        <v>146</v>
      </c>
      <c r="H260" s="198">
        <v>46188</v>
      </c>
      <c r="I260" s="192" t="s">
        <v>147</v>
      </c>
      <c r="L260" s="192" t="s">
        <v>147</v>
      </c>
    </row>
    <row r="261" spans="2:12" ht="15.75" customHeight="1" x14ac:dyDescent="0.4">
      <c r="B261" s="217" t="s">
        <v>440</v>
      </c>
      <c r="C261" s="213">
        <v>46185</v>
      </c>
      <c r="D261" s="218" t="s">
        <v>154</v>
      </c>
      <c r="G261" s="192" t="s">
        <v>146</v>
      </c>
      <c r="H261" s="198">
        <v>46190</v>
      </c>
      <c r="I261" s="192" t="s">
        <v>147</v>
      </c>
      <c r="L261" s="192" t="s">
        <v>147</v>
      </c>
    </row>
    <row r="262" spans="2:12" ht="15.75" customHeight="1" x14ac:dyDescent="0.4">
      <c r="B262" s="217" t="s">
        <v>441</v>
      </c>
      <c r="C262" s="213">
        <v>46185</v>
      </c>
      <c r="D262" s="218" t="s">
        <v>165</v>
      </c>
      <c r="G262" s="192" t="s">
        <v>146</v>
      </c>
      <c r="H262" s="198">
        <v>46188</v>
      </c>
      <c r="I262" s="192" t="s">
        <v>147</v>
      </c>
      <c r="L262" s="192" t="s">
        <v>147</v>
      </c>
    </row>
    <row r="263" spans="2:12" ht="15.75" customHeight="1" x14ac:dyDescent="0.4">
      <c r="B263" s="217" t="s">
        <v>442</v>
      </c>
      <c r="C263" s="213">
        <v>46185</v>
      </c>
      <c r="D263" s="218" t="s">
        <v>165</v>
      </c>
      <c r="G263" s="192" t="s">
        <v>151</v>
      </c>
      <c r="L263" s="192" t="s">
        <v>152</v>
      </c>
    </row>
    <row r="264" spans="2:12" ht="15.75" customHeight="1" x14ac:dyDescent="0.4">
      <c r="B264" s="218" t="s">
        <v>443</v>
      </c>
      <c r="C264" s="212">
        <v>46186</v>
      </c>
      <c r="D264" s="218" t="s">
        <v>165</v>
      </c>
      <c r="G264" s="192" t="s">
        <v>142</v>
      </c>
      <c r="H264" s="198">
        <v>46190</v>
      </c>
      <c r="L264" s="192" t="s">
        <v>235</v>
      </c>
    </row>
    <row r="265" spans="2:12" ht="15.75" customHeight="1" x14ac:dyDescent="0.4">
      <c r="B265" s="219" t="s">
        <v>444</v>
      </c>
      <c r="C265" s="213">
        <v>46186</v>
      </c>
      <c r="D265" s="219" t="s">
        <v>154</v>
      </c>
      <c r="G265" s="192" t="s">
        <v>151</v>
      </c>
      <c r="L265" s="192" t="s">
        <v>152</v>
      </c>
    </row>
    <row r="266" spans="2:12" ht="15.75" customHeight="1" x14ac:dyDescent="0.4">
      <c r="B266" s="219" t="s">
        <v>445</v>
      </c>
      <c r="C266" s="213">
        <v>46186</v>
      </c>
      <c r="D266" s="219" t="s">
        <v>154</v>
      </c>
      <c r="G266" s="192" t="s">
        <v>151</v>
      </c>
      <c r="L266" s="192" t="s">
        <v>152</v>
      </c>
    </row>
    <row r="267" spans="2:12" ht="15.75" customHeight="1" x14ac:dyDescent="0.4">
      <c r="B267" s="219" t="s">
        <v>446</v>
      </c>
      <c r="C267" s="213">
        <v>46186</v>
      </c>
      <c r="D267" s="219" t="s">
        <v>75</v>
      </c>
      <c r="G267" s="192" t="s">
        <v>151</v>
      </c>
      <c r="L267" s="192" t="s">
        <v>152</v>
      </c>
    </row>
    <row r="268" spans="2:12" ht="15.75" customHeight="1" x14ac:dyDescent="0.4">
      <c r="B268" s="219" t="s">
        <v>447</v>
      </c>
      <c r="C268" s="213">
        <v>46186</v>
      </c>
      <c r="D268" s="219" t="s">
        <v>165</v>
      </c>
      <c r="G268" s="192" t="s">
        <v>151</v>
      </c>
      <c r="L268" s="192" t="s">
        <v>152</v>
      </c>
    </row>
    <row r="269" spans="2:12" ht="15.75" customHeight="1" x14ac:dyDescent="0.4">
      <c r="B269" s="219" t="s">
        <v>448</v>
      </c>
      <c r="C269" s="213">
        <v>46186</v>
      </c>
      <c r="D269" s="219" t="s">
        <v>165</v>
      </c>
      <c r="G269" s="192" t="s">
        <v>142</v>
      </c>
      <c r="H269" s="198">
        <v>46190</v>
      </c>
      <c r="I269" s="192" t="s">
        <v>143</v>
      </c>
      <c r="L269" s="192" t="s">
        <v>235</v>
      </c>
    </row>
    <row r="270" spans="2:12" ht="15.75" customHeight="1" x14ac:dyDescent="0.4">
      <c r="B270" s="219" t="s">
        <v>449</v>
      </c>
      <c r="C270" s="213">
        <v>46186</v>
      </c>
      <c r="D270" s="219" t="s">
        <v>75</v>
      </c>
      <c r="G270" s="192" t="s">
        <v>151</v>
      </c>
      <c r="L270" s="192" t="s">
        <v>152</v>
      </c>
    </row>
    <row r="271" spans="2:12" ht="15.75" customHeight="1" x14ac:dyDescent="0.4">
      <c r="B271" s="218" t="s">
        <v>431</v>
      </c>
      <c r="C271" s="213">
        <v>46185</v>
      </c>
      <c r="D271" s="218" t="s">
        <v>154</v>
      </c>
      <c r="G271" s="192" t="s">
        <v>151</v>
      </c>
      <c r="L271" s="192" t="s">
        <v>152</v>
      </c>
    </row>
    <row r="272" spans="2:12" ht="15.75" customHeight="1" x14ac:dyDescent="0.4">
      <c r="B272" s="219" t="s">
        <v>434</v>
      </c>
      <c r="C272" s="213">
        <v>46185</v>
      </c>
      <c r="D272" s="219" t="s">
        <v>154</v>
      </c>
      <c r="G272" s="192" t="s">
        <v>151</v>
      </c>
      <c r="L272" s="192" t="s">
        <v>152</v>
      </c>
    </row>
    <row r="273" spans="2:12" ht="15.75" customHeight="1" x14ac:dyDescent="0.4">
      <c r="B273" s="216" t="s">
        <v>450</v>
      </c>
      <c r="C273" s="212">
        <v>46188</v>
      </c>
      <c r="D273" s="192" t="s">
        <v>173</v>
      </c>
      <c r="G273" s="192" t="s">
        <v>151</v>
      </c>
      <c r="L273" s="192" t="s">
        <v>152</v>
      </c>
    </row>
    <row r="274" spans="2:12" ht="15.75" customHeight="1" x14ac:dyDescent="0.4">
      <c r="B274" s="217" t="s">
        <v>451</v>
      </c>
      <c r="C274" s="213">
        <v>46188</v>
      </c>
      <c r="D274" s="192" t="s">
        <v>173</v>
      </c>
      <c r="G274" s="192" t="s">
        <v>151</v>
      </c>
      <c r="L274" s="192" t="s">
        <v>152</v>
      </c>
    </row>
    <row r="275" spans="2:12" ht="15.75" customHeight="1" x14ac:dyDescent="0.4">
      <c r="B275" s="217" t="s">
        <v>452</v>
      </c>
      <c r="C275" s="213">
        <v>46188</v>
      </c>
      <c r="D275" s="219" t="s">
        <v>165</v>
      </c>
      <c r="G275" s="192" t="s">
        <v>151</v>
      </c>
      <c r="L275" s="192" t="s">
        <v>152</v>
      </c>
    </row>
    <row r="276" spans="2:12" ht="15.75" customHeight="1" x14ac:dyDescent="0.4">
      <c r="B276" s="217" t="s">
        <v>453</v>
      </c>
      <c r="C276" s="213">
        <v>46188</v>
      </c>
      <c r="D276" s="192" t="s">
        <v>141</v>
      </c>
      <c r="G276" s="192" t="s">
        <v>151</v>
      </c>
      <c r="L276" s="192" t="s">
        <v>152</v>
      </c>
    </row>
    <row r="277" spans="2:12" ht="15.75" customHeight="1" x14ac:dyDescent="0.4">
      <c r="B277" s="217" t="s">
        <v>454</v>
      </c>
      <c r="C277" s="213">
        <v>46188</v>
      </c>
      <c r="D277" s="192" t="s">
        <v>141</v>
      </c>
      <c r="G277" s="192" t="s">
        <v>151</v>
      </c>
      <c r="L277" s="192" t="s">
        <v>152</v>
      </c>
    </row>
    <row r="278" spans="2:12" ht="15.75" customHeight="1" x14ac:dyDescent="0.4">
      <c r="B278" s="217" t="s">
        <v>455</v>
      </c>
      <c r="C278" s="213">
        <v>46188</v>
      </c>
      <c r="D278" s="192" t="s">
        <v>173</v>
      </c>
      <c r="G278" s="192" t="s">
        <v>146</v>
      </c>
      <c r="H278" s="198">
        <v>46189</v>
      </c>
      <c r="I278" s="192" t="s">
        <v>147</v>
      </c>
      <c r="L278" s="192" t="s">
        <v>147</v>
      </c>
    </row>
    <row r="279" spans="2:12" ht="15.75" customHeight="1" x14ac:dyDescent="0.4">
      <c r="B279" s="217" t="s">
        <v>456</v>
      </c>
      <c r="C279" s="213">
        <v>46188</v>
      </c>
      <c r="D279" s="192" t="s">
        <v>141</v>
      </c>
      <c r="G279" s="192" t="s">
        <v>151</v>
      </c>
      <c r="L279" s="192" t="s">
        <v>152</v>
      </c>
    </row>
    <row r="280" spans="2:12" ht="15.75" customHeight="1" x14ac:dyDescent="0.4">
      <c r="B280" s="217" t="s">
        <v>457</v>
      </c>
      <c r="C280" s="213">
        <v>46188</v>
      </c>
      <c r="D280" s="219" t="s">
        <v>165</v>
      </c>
      <c r="G280" s="192" t="s">
        <v>151</v>
      </c>
      <c r="L280" s="192" t="s">
        <v>152</v>
      </c>
    </row>
    <row r="281" spans="2:12" ht="15.75" customHeight="1" x14ac:dyDescent="0.4">
      <c r="B281" s="217" t="s">
        <v>458</v>
      </c>
      <c r="C281" s="213">
        <v>46188</v>
      </c>
      <c r="D281" s="219" t="s">
        <v>165</v>
      </c>
      <c r="G281" s="192" t="s">
        <v>151</v>
      </c>
      <c r="L281" s="192" t="s">
        <v>152</v>
      </c>
    </row>
    <row r="282" spans="2:12" ht="15.75" customHeight="1" x14ac:dyDescent="0.4">
      <c r="B282" s="217" t="s">
        <v>459</v>
      </c>
      <c r="C282" s="213">
        <v>46188</v>
      </c>
      <c r="D282" s="192" t="s">
        <v>141</v>
      </c>
      <c r="G282" s="192" t="s">
        <v>151</v>
      </c>
      <c r="L282" s="192" t="s">
        <v>152</v>
      </c>
    </row>
    <row r="283" spans="2:12" ht="15.75" customHeight="1" x14ac:dyDescent="0.4">
      <c r="B283" s="217" t="s">
        <v>460</v>
      </c>
      <c r="C283" s="213">
        <v>46188</v>
      </c>
      <c r="D283" s="192" t="s">
        <v>173</v>
      </c>
      <c r="G283" s="192" t="s">
        <v>151</v>
      </c>
      <c r="L283" s="192" t="s">
        <v>152</v>
      </c>
    </row>
    <row r="284" spans="2:12" ht="15.75" customHeight="1" x14ac:dyDescent="0.4">
      <c r="B284" s="217" t="s">
        <v>461</v>
      </c>
      <c r="C284" s="213">
        <v>46188</v>
      </c>
      <c r="D284" s="192" t="s">
        <v>173</v>
      </c>
      <c r="G284" s="192" t="s">
        <v>151</v>
      </c>
      <c r="L284" s="192" t="s">
        <v>152</v>
      </c>
    </row>
    <row r="285" spans="2:12" ht="15.75" customHeight="1" x14ac:dyDescent="0.4">
      <c r="B285" s="196" t="s">
        <v>462</v>
      </c>
      <c r="D285" s="192" t="s">
        <v>259</v>
      </c>
      <c r="E285" s="192" t="s">
        <v>463</v>
      </c>
      <c r="F285" s="196" t="s">
        <v>181</v>
      </c>
      <c r="G285" s="192" t="s">
        <v>142</v>
      </c>
      <c r="K285" s="192" t="s">
        <v>160</v>
      </c>
      <c r="L285" s="192" t="s">
        <v>160</v>
      </c>
    </row>
    <row r="286" spans="2:12" ht="15.75" customHeight="1" x14ac:dyDescent="0.4">
      <c r="B286" s="214" t="s">
        <v>464</v>
      </c>
      <c r="D286" s="192" t="s">
        <v>69</v>
      </c>
      <c r="G286" s="192" t="s">
        <v>142</v>
      </c>
      <c r="H286" s="198">
        <v>46189</v>
      </c>
      <c r="I286" s="192" t="s">
        <v>147</v>
      </c>
      <c r="L286" s="192" t="s">
        <v>147</v>
      </c>
    </row>
    <row r="287" spans="2:12" ht="15.75" customHeight="1" x14ac:dyDescent="0.4">
      <c r="B287" s="215" t="s">
        <v>465</v>
      </c>
      <c r="D287" s="192" t="s">
        <v>69</v>
      </c>
      <c r="G287" s="192" t="s">
        <v>142</v>
      </c>
      <c r="H287" s="198">
        <v>46195</v>
      </c>
      <c r="L287" s="192" t="s">
        <v>381</v>
      </c>
    </row>
    <row r="288" spans="2:12" ht="15.75" customHeight="1" x14ac:dyDescent="0.4">
      <c r="B288" s="215" t="s">
        <v>466</v>
      </c>
      <c r="D288" s="192" t="s">
        <v>69</v>
      </c>
      <c r="G288" s="192" t="s">
        <v>142</v>
      </c>
      <c r="L288" s="192" t="s">
        <v>152</v>
      </c>
    </row>
    <row r="289" spans="2:12" ht="15.75" customHeight="1" x14ac:dyDescent="0.4">
      <c r="B289" s="215" t="s">
        <v>467</v>
      </c>
      <c r="D289" s="192" t="s">
        <v>69</v>
      </c>
      <c r="G289" s="192" t="s">
        <v>142</v>
      </c>
      <c r="L289" s="192" t="s">
        <v>152</v>
      </c>
    </row>
    <row r="290" spans="2:12" ht="15.75" customHeight="1" x14ac:dyDescent="0.4">
      <c r="B290" s="215" t="s">
        <v>468</v>
      </c>
      <c r="D290" s="192" t="s">
        <v>69</v>
      </c>
      <c r="G290" s="192" t="s">
        <v>142</v>
      </c>
      <c r="H290" s="198">
        <v>46190</v>
      </c>
      <c r="I290" s="192" t="s">
        <v>143</v>
      </c>
      <c r="J290" s="199">
        <v>46192</v>
      </c>
      <c r="L290" s="192" t="s">
        <v>265</v>
      </c>
    </row>
    <row r="291" spans="2:12" ht="15.75" customHeight="1" x14ac:dyDescent="0.4">
      <c r="B291" s="215" t="s">
        <v>469</v>
      </c>
      <c r="D291" s="192" t="s">
        <v>69</v>
      </c>
      <c r="G291" s="192" t="s">
        <v>142</v>
      </c>
      <c r="H291" s="198">
        <v>46191</v>
      </c>
      <c r="L291" s="192" t="s">
        <v>381</v>
      </c>
    </row>
    <row r="292" spans="2:12" ht="15.75" customHeight="1" x14ac:dyDescent="0.4">
      <c r="B292" s="214" t="s">
        <v>470</v>
      </c>
      <c r="D292" s="192" t="s">
        <v>259</v>
      </c>
      <c r="G292" s="192" t="s">
        <v>142</v>
      </c>
      <c r="H292" s="198">
        <v>46191</v>
      </c>
      <c r="L292" s="192" t="s">
        <v>381</v>
      </c>
    </row>
    <row r="293" spans="2:12" ht="15.75" customHeight="1" x14ac:dyDescent="0.4">
      <c r="B293" s="214" t="s">
        <v>471</v>
      </c>
      <c r="D293" s="192" t="s">
        <v>75</v>
      </c>
      <c r="G293" s="192" t="s">
        <v>142</v>
      </c>
      <c r="H293" s="198">
        <v>46192</v>
      </c>
      <c r="L293" s="192" t="s">
        <v>381</v>
      </c>
    </row>
    <row r="294" spans="2:12" ht="15.75" customHeight="1" x14ac:dyDescent="0.4">
      <c r="B294" s="215" t="s">
        <v>472</v>
      </c>
      <c r="D294" s="192" t="s">
        <v>75</v>
      </c>
      <c r="G294" s="192" t="s">
        <v>142</v>
      </c>
      <c r="H294" s="198">
        <v>46191</v>
      </c>
      <c r="I294" s="192" t="s">
        <v>143</v>
      </c>
      <c r="K294" s="199"/>
      <c r="L294" s="192" t="s">
        <v>235</v>
      </c>
    </row>
    <row r="295" spans="2:12" ht="15.75" customHeight="1" x14ac:dyDescent="0.4">
      <c r="B295" s="214" t="s">
        <v>473</v>
      </c>
      <c r="D295" s="192" t="s">
        <v>75</v>
      </c>
      <c r="G295" s="192" t="s">
        <v>142</v>
      </c>
      <c r="H295" s="198">
        <v>46192</v>
      </c>
      <c r="L295" s="192" t="s">
        <v>381</v>
      </c>
    </row>
    <row r="296" spans="2:12" ht="15.75" customHeight="1" x14ac:dyDescent="0.4">
      <c r="B296" s="216" t="s">
        <v>474</v>
      </c>
      <c r="D296" s="192" t="s">
        <v>165</v>
      </c>
      <c r="G296" s="192" t="s">
        <v>151</v>
      </c>
      <c r="L296" s="192" t="s">
        <v>152</v>
      </c>
    </row>
    <row r="297" spans="2:12" ht="15.75" customHeight="1" x14ac:dyDescent="0.4">
      <c r="B297" s="217" t="s">
        <v>475</v>
      </c>
      <c r="D297" s="192" t="s">
        <v>165</v>
      </c>
      <c r="G297" s="192" t="s">
        <v>151</v>
      </c>
      <c r="L297" s="192" t="s">
        <v>152</v>
      </c>
    </row>
    <row r="298" spans="2:12" ht="15.75" customHeight="1" x14ac:dyDescent="0.4">
      <c r="B298" s="217" t="s">
        <v>476</v>
      </c>
      <c r="D298" s="192" t="s">
        <v>165</v>
      </c>
      <c r="G298" s="192" t="s">
        <v>142</v>
      </c>
      <c r="H298" s="198">
        <v>46191</v>
      </c>
      <c r="L298" s="192" t="s">
        <v>381</v>
      </c>
    </row>
    <row r="299" spans="2:12" ht="15.75" customHeight="1" x14ac:dyDescent="0.4">
      <c r="B299" s="217" t="s">
        <v>477</v>
      </c>
      <c r="D299" s="192" t="s">
        <v>165</v>
      </c>
      <c r="G299" s="192" t="s">
        <v>151</v>
      </c>
      <c r="L299" s="192" t="s">
        <v>152</v>
      </c>
    </row>
    <row r="300" spans="2:12" ht="15.75" customHeight="1" x14ac:dyDescent="0.4">
      <c r="B300" s="217" t="s">
        <v>478</v>
      </c>
      <c r="D300" s="192" t="s">
        <v>173</v>
      </c>
      <c r="G300" s="192" t="s">
        <v>146</v>
      </c>
      <c r="H300" s="198">
        <v>46191</v>
      </c>
      <c r="I300" s="192" t="s">
        <v>147</v>
      </c>
      <c r="L300" s="192" t="s">
        <v>147</v>
      </c>
    </row>
    <row r="301" spans="2:12" ht="15.75" customHeight="1" x14ac:dyDescent="0.4">
      <c r="B301" s="217" t="s">
        <v>479</v>
      </c>
      <c r="D301" s="192" t="s">
        <v>173</v>
      </c>
      <c r="G301" s="192" t="s">
        <v>151</v>
      </c>
      <c r="L301" s="192" t="s">
        <v>152</v>
      </c>
    </row>
  </sheetData>
  <autoFilter ref="A1:T301" xr:uid="{D26F672A-D48C-4E2B-AFAE-A9B28A76C37F}"/>
  <dataValidations count="1">
    <dataValidation type="custom" showInputMessage="1" showErrorMessage="1" errorTitle="Invalid Date" error="Enter a valid date on or after Request Date. If Request Date is blank, please enter it first. Format: MM/DD/YYYY" sqref="M104:M105" xr:uid="{0FAD1E4A-6E49-420D-9FF8-29405FB87AAC}">
      <formula1>OR(ISBLANK(M104), AND(ISNUMBER(#REF!), ISNUMBER(M104), M104&gt;=#REF!))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2E74748-2911-407E-9356-00EB36FC703B}">
          <x14:formula1>
            <xm:f>'Master Data'!$A$30:$A$38</xm:f>
          </x14:formula1>
          <xm:sqref>G163:G171 G177:G182 G187 G2:G104 G285:G295 G106:G160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87291-7B53-488C-B551-4C67454F282F}">
  <dimension ref="A1:P51"/>
  <sheetViews>
    <sheetView workbookViewId="0">
      <selection activeCell="G13" sqref="G13"/>
    </sheetView>
  </sheetViews>
  <sheetFormatPr defaultRowHeight="16" x14ac:dyDescent="0.4"/>
  <cols>
    <col min="2" max="2" width="13" customWidth="1"/>
    <col min="10" max="10" width="14.75" customWidth="1"/>
  </cols>
  <sheetData>
    <row r="1" spans="1:16" x14ac:dyDescent="0.4">
      <c r="A1" s="110"/>
      <c r="B1" s="110"/>
      <c r="C1" s="110"/>
      <c r="D1" s="110"/>
      <c r="E1" s="110"/>
      <c r="F1" s="110"/>
      <c r="G1" s="110"/>
      <c r="H1" s="110"/>
      <c r="I1" s="110"/>
      <c r="J1" s="110"/>
      <c r="K1" s="110"/>
      <c r="L1" s="110"/>
      <c r="M1" s="110"/>
      <c r="N1" s="110"/>
      <c r="O1" s="110"/>
      <c r="P1" s="110"/>
    </row>
    <row r="2" spans="1:16" ht="21" x14ac:dyDescent="0.5">
      <c r="A2" s="110"/>
      <c r="B2" s="261" t="s">
        <v>480</v>
      </c>
      <c r="C2" s="261"/>
      <c r="D2" s="261"/>
      <c r="E2" s="261"/>
      <c r="F2" s="261"/>
      <c r="G2" s="261"/>
      <c r="H2" s="261"/>
      <c r="I2" s="261"/>
      <c r="J2" s="261"/>
      <c r="K2" s="261"/>
      <c r="L2" s="261"/>
      <c r="M2" s="261"/>
      <c r="N2" s="261"/>
      <c r="O2" s="261"/>
      <c r="P2" s="110"/>
    </row>
    <row r="3" spans="1:16" x14ac:dyDescent="0.4">
      <c r="A3" s="110"/>
      <c r="B3" s="262" t="s">
        <v>481</v>
      </c>
      <c r="C3" s="262"/>
      <c r="D3" s="262"/>
      <c r="E3" s="262"/>
      <c r="F3" s="262"/>
      <c r="G3" s="262"/>
      <c r="H3" s="262"/>
      <c r="I3" s="262"/>
      <c r="J3" s="262"/>
      <c r="K3" s="262"/>
      <c r="L3" s="262"/>
      <c r="M3" s="262"/>
      <c r="N3" s="262"/>
      <c r="O3" s="262"/>
      <c r="P3" s="110"/>
    </row>
    <row r="4" spans="1:16" x14ac:dyDescent="0.4">
      <c r="A4" s="110"/>
      <c r="B4" s="110"/>
      <c r="C4" s="110"/>
      <c r="D4" s="110"/>
      <c r="E4" s="110"/>
      <c r="F4" s="110"/>
      <c r="G4" s="110"/>
      <c r="H4" s="110"/>
      <c r="I4" s="110"/>
      <c r="J4" s="110"/>
      <c r="K4" s="110"/>
      <c r="L4" s="110"/>
      <c r="M4" s="110"/>
      <c r="N4" s="110"/>
      <c r="O4" s="110"/>
      <c r="P4" s="110"/>
    </row>
    <row r="5" spans="1:16" x14ac:dyDescent="0.4">
      <c r="A5" s="110"/>
      <c r="B5" s="263" t="s">
        <v>482</v>
      </c>
      <c r="C5" s="263"/>
      <c r="D5" s="263"/>
      <c r="E5" s="263"/>
      <c r="F5" s="263"/>
      <c r="G5" s="263"/>
      <c r="H5" s="263"/>
      <c r="I5" s="263"/>
      <c r="J5" s="263"/>
      <c r="K5" s="263"/>
      <c r="L5" s="263"/>
      <c r="M5" s="263"/>
      <c r="N5" s="263"/>
      <c r="O5" s="263"/>
      <c r="P5" s="110"/>
    </row>
    <row r="6" spans="1:16" x14ac:dyDescent="0.4">
      <c r="A6" s="110"/>
      <c r="B6" s="110"/>
      <c r="C6" s="110"/>
      <c r="D6" s="110"/>
      <c r="E6" s="110"/>
      <c r="F6" s="110"/>
      <c r="G6" s="110"/>
      <c r="H6" s="110"/>
      <c r="I6" s="110"/>
      <c r="J6" s="110"/>
      <c r="K6" s="110"/>
      <c r="L6" s="110"/>
      <c r="M6" s="110"/>
      <c r="N6" s="110"/>
      <c r="O6" s="110"/>
      <c r="P6" s="110"/>
    </row>
    <row r="7" spans="1:16" x14ac:dyDescent="0.4">
      <c r="A7" s="110"/>
      <c r="B7" s="264" t="s">
        <v>483</v>
      </c>
      <c r="C7" s="264"/>
      <c r="D7" s="253" t="s">
        <v>484</v>
      </c>
      <c r="E7" s="253"/>
      <c r="F7" s="265" t="s">
        <v>485</v>
      </c>
      <c r="G7" s="265"/>
      <c r="H7" s="254" t="s">
        <v>486</v>
      </c>
      <c r="I7" s="254"/>
      <c r="J7" s="266" t="s">
        <v>487</v>
      </c>
      <c r="K7" s="266"/>
      <c r="L7" s="267" t="s">
        <v>488</v>
      </c>
      <c r="M7" s="267"/>
      <c r="N7" s="268" t="s">
        <v>489</v>
      </c>
      <c r="O7" s="268"/>
      <c r="P7" s="110"/>
    </row>
    <row r="8" spans="1:16" ht="15.75" customHeight="1" x14ac:dyDescent="0.65">
      <c r="A8" s="110"/>
      <c r="B8" s="246" t="s">
        <v>481</v>
      </c>
      <c r="C8" s="246"/>
      <c r="D8" s="247" t="s">
        <v>481</v>
      </c>
      <c r="E8" s="247"/>
      <c r="F8" s="239" t="s">
        <v>481</v>
      </c>
      <c r="G8" s="239"/>
      <c r="H8" s="248" t="s">
        <v>481</v>
      </c>
      <c r="I8" s="248"/>
      <c r="J8" s="240" t="s">
        <v>481</v>
      </c>
      <c r="K8" s="240"/>
      <c r="L8" s="249" t="s">
        <v>481</v>
      </c>
      <c r="M8" s="249"/>
      <c r="N8" s="259" t="s">
        <v>481</v>
      </c>
      <c r="O8" s="259"/>
      <c r="P8" s="110"/>
    </row>
    <row r="9" spans="1:16" x14ac:dyDescent="0.4">
      <c r="A9" s="110"/>
      <c r="B9" s="241" t="s">
        <v>490</v>
      </c>
      <c r="C9" s="241"/>
      <c r="D9" s="242" t="s">
        <v>491</v>
      </c>
      <c r="E9" s="242"/>
      <c r="F9" s="238" t="s">
        <v>481</v>
      </c>
      <c r="G9" s="238"/>
      <c r="H9" s="243" t="s">
        <v>492</v>
      </c>
      <c r="I9" s="243"/>
      <c r="J9" s="245" t="s">
        <v>493</v>
      </c>
      <c r="K9" s="245"/>
      <c r="L9" s="244" t="s">
        <v>494</v>
      </c>
      <c r="M9" s="244"/>
      <c r="N9" s="260" t="s">
        <v>495</v>
      </c>
      <c r="O9" s="260"/>
      <c r="P9" s="110"/>
    </row>
    <row r="10" spans="1:16" x14ac:dyDescent="0.4">
      <c r="A10" s="110"/>
      <c r="B10" s="110"/>
      <c r="C10" s="110"/>
      <c r="D10" s="110"/>
      <c r="E10" s="110"/>
      <c r="F10" s="110"/>
      <c r="G10" s="110"/>
      <c r="H10" s="110"/>
      <c r="I10" s="110"/>
      <c r="J10" s="110"/>
      <c r="K10" s="110"/>
      <c r="L10" s="110"/>
      <c r="M10" s="110"/>
      <c r="N10" s="110"/>
      <c r="O10" s="110"/>
      <c r="P10" s="110"/>
    </row>
    <row r="11" spans="1:16" x14ac:dyDescent="0.4">
      <c r="A11" s="110"/>
      <c r="B11" s="233" t="s">
        <v>496</v>
      </c>
      <c r="C11" s="233"/>
      <c r="D11" s="233"/>
      <c r="E11" s="233"/>
      <c r="F11" s="233"/>
      <c r="G11" s="233"/>
      <c r="H11" s="233"/>
      <c r="I11" s="110"/>
      <c r="J11" s="232" t="s">
        <v>497</v>
      </c>
      <c r="K11" s="232"/>
      <c r="L11" s="232"/>
      <c r="M11" s="232"/>
      <c r="N11" s="232"/>
      <c r="O11" s="232"/>
      <c r="P11" s="110"/>
    </row>
    <row r="12" spans="1:16" x14ac:dyDescent="0.4">
      <c r="A12" s="110"/>
      <c r="B12" s="111" t="s">
        <v>498</v>
      </c>
      <c r="C12" s="112" t="s">
        <v>499</v>
      </c>
      <c r="D12" s="112" t="s">
        <v>500</v>
      </c>
      <c r="E12" s="112" t="s">
        <v>501</v>
      </c>
      <c r="F12" s="112" t="s">
        <v>502</v>
      </c>
      <c r="G12" s="112" t="s">
        <v>503</v>
      </c>
      <c r="H12" s="112" t="s">
        <v>504</v>
      </c>
      <c r="I12" s="110"/>
      <c r="J12" s="111" t="s">
        <v>498</v>
      </c>
      <c r="K12" s="112" t="s">
        <v>505</v>
      </c>
      <c r="L12" s="112" t="s">
        <v>506</v>
      </c>
      <c r="M12" s="112" t="s">
        <v>507</v>
      </c>
      <c r="N12" s="112" t="s">
        <v>508</v>
      </c>
      <c r="O12" s="112" t="s">
        <v>509</v>
      </c>
      <c r="P12" s="110"/>
    </row>
    <row r="13" spans="1:16" x14ac:dyDescent="0.4">
      <c r="A13" s="110"/>
      <c r="B13" s="113" t="s">
        <v>89</v>
      </c>
      <c r="C13" s="114" t="s">
        <v>481</v>
      </c>
      <c r="D13" s="115" t="s">
        <v>481</v>
      </c>
      <c r="E13" s="115" t="s">
        <v>481</v>
      </c>
      <c r="F13" s="115" t="s">
        <v>481</v>
      </c>
      <c r="G13" s="115" t="s">
        <v>481</v>
      </c>
      <c r="H13" s="115" t="s">
        <v>481</v>
      </c>
      <c r="I13" s="110"/>
      <c r="J13" s="116" t="s">
        <v>89</v>
      </c>
      <c r="K13" s="117" t="s">
        <v>481</v>
      </c>
      <c r="L13" s="117" t="s">
        <v>481</v>
      </c>
      <c r="M13" s="117" t="s">
        <v>481</v>
      </c>
      <c r="N13" s="118" t="s">
        <v>481</v>
      </c>
      <c r="O13" s="119" t="s">
        <v>481</v>
      </c>
      <c r="P13" s="110"/>
    </row>
    <row r="14" spans="1:16" x14ac:dyDescent="0.4">
      <c r="A14" s="110"/>
      <c r="B14" s="120" t="s">
        <v>93</v>
      </c>
      <c r="C14" s="121" t="s">
        <v>481</v>
      </c>
      <c r="D14" s="122" t="s">
        <v>481</v>
      </c>
      <c r="E14" s="122" t="s">
        <v>481</v>
      </c>
      <c r="F14" s="122" t="s">
        <v>481</v>
      </c>
      <c r="G14" s="122" t="s">
        <v>481</v>
      </c>
      <c r="H14" s="122" t="s">
        <v>481</v>
      </c>
      <c r="I14" s="110"/>
      <c r="J14" s="120" t="s">
        <v>93</v>
      </c>
      <c r="K14" s="122" t="s">
        <v>481</v>
      </c>
      <c r="L14" s="122" t="s">
        <v>481</v>
      </c>
      <c r="M14" s="122" t="s">
        <v>481</v>
      </c>
      <c r="N14" s="123" t="s">
        <v>481</v>
      </c>
      <c r="O14" s="121" t="s">
        <v>481</v>
      </c>
      <c r="P14" s="110"/>
    </row>
    <row r="15" spans="1:16" x14ac:dyDescent="0.4">
      <c r="A15" s="110"/>
      <c r="B15" s="124" t="s">
        <v>96</v>
      </c>
      <c r="C15" s="125" t="s">
        <v>481</v>
      </c>
      <c r="D15" s="126" t="s">
        <v>481</v>
      </c>
      <c r="E15" s="126" t="s">
        <v>481</v>
      </c>
      <c r="F15" s="126" t="s">
        <v>481</v>
      </c>
      <c r="G15" s="126" t="s">
        <v>481</v>
      </c>
      <c r="H15" s="126" t="s">
        <v>481</v>
      </c>
      <c r="I15" s="110"/>
      <c r="J15" s="127" t="s">
        <v>96</v>
      </c>
      <c r="K15" s="128" t="s">
        <v>481</v>
      </c>
      <c r="L15" s="128" t="s">
        <v>481</v>
      </c>
      <c r="M15" s="128" t="s">
        <v>481</v>
      </c>
      <c r="N15" s="129" t="s">
        <v>481</v>
      </c>
      <c r="O15" s="130" t="s">
        <v>481</v>
      </c>
      <c r="P15" s="110"/>
    </row>
    <row r="16" spans="1:16" x14ac:dyDescent="0.4">
      <c r="A16" s="110"/>
      <c r="B16" s="120" t="s">
        <v>99</v>
      </c>
      <c r="C16" s="121" t="s">
        <v>481</v>
      </c>
      <c r="D16" s="122" t="s">
        <v>481</v>
      </c>
      <c r="E16" s="122" t="s">
        <v>481</v>
      </c>
      <c r="F16" s="122" t="s">
        <v>481</v>
      </c>
      <c r="G16" s="122" t="s">
        <v>481</v>
      </c>
      <c r="H16" s="122" t="s">
        <v>481</v>
      </c>
      <c r="I16" s="110"/>
      <c r="J16" s="120" t="s">
        <v>99</v>
      </c>
      <c r="K16" s="122" t="s">
        <v>481</v>
      </c>
      <c r="L16" s="122" t="s">
        <v>481</v>
      </c>
      <c r="M16" s="122" t="s">
        <v>481</v>
      </c>
      <c r="N16" s="123" t="s">
        <v>481</v>
      </c>
      <c r="O16" s="121" t="s">
        <v>481</v>
      </c>
      <c r="P16" s="110"/>
    </row>
    <row r="17" spans="1:16" x14ac:dyDescent="0.4">
      <c r="A17" s="110"/>
      <c r="B17" s="124" t="s">
        <v>102</v>
      </c>
      <c r="C17" s="125" t="s">
        <v>481</v>
      </c>
      <c r="D17" s="126" t="s">
        <v>481</v>
      </c>
      <c r="E17" s="126" t="s">
        <v>481</v>
      </c>
      <c r="F17" s="126" t="s">
        <v>481</v>
      </c>
      <c r="G17" s="126" t="s">
        <v>481</v>
      </c>
      <c r="H17" s="126" t="s">
        <v>481</v>
      </c>
      <c r="I17" s="110"/>
      <c r="J17" s="127" t="s">
        <v>102</v>
      </c>
      <c r="K17" s="128" t="s">
        <v>481</v>
      </c>
      <c r="L17" s="128" t="s">
        <v>481</v>
      </c>
      <c r="M17" s="128" t="s">
        <v>481</v>
      </c>
      <c r="N17" s="129" t="s">
        <v>481</v>
      </c>
      <c r="O17" s="130" t="s">
        <v>481</v>
      </c>
      <c r="P17" s="110"/>
    </row>
    <row r="18" spans="1:16" x14ac:dyDescent="0.4">
      <c r="A18" s="110"/>
      <c r="B18" s="131" t="s">
        <v>510</v>
      </c>
      <c r="C18" s="132" t="s">
        <v>481</v>
      </c>
      <c r="D18" s="132" t="s">
        <v>481</v>
      </c>
      <c r="E18" s="132" t="s">
        <v>481</v>
      </c>
      <c r="F18" s="132" t="s">
        <v>481</v>
      </c>
      <c r="G18" s="132" t="s">
        <v>481</v>
      </c>
      <c r="H18" s="132" t="s">
        <v>481</v>
      </c>
      <c r="I18" s="110"/>
      <c r="J18" s="131" t="s">
        <v>511</v>
      </c>
      <c r="K18" s="133" t="s">
        <v>481</v>
      </c>
      <c r="L18" s="133" t="s">
        <v>481</v>
      </c>
      <c r="M18" s="133" t="s">
        <v>481</v>
      </c>
      <c r="N18" s="133" t="s">
        <v>481</v>
      </c>
      <c r="O18" s="132" t="s">
        <v>481</v>
      </c>
      <c r="P18" s="110"/>
    </row>
    <row r="19" spans="1:16" x14ac:dyDescent="0.4">
      <c r="A19" s="110"/>
      <c r="B19" s="110"/>
      <c r="C19" s="110"/>
      <c r="D19" s="110"/>
      <c r="E19" s="110"/>
      <c r="F19" s="110"/>
      <c r="G19" s="110"/>
      <c r="H19" s="110"/>
      <c r="I19" s="110"/>
      <c r="J19" s="110"/>
      <c r="K19" s="110"/>
      <c r="L19" s="110"/>
      <c r="M19" s="110"/>
      <c r="N19" s="110"/>
      <c r="O19" s="110"/>
      <c r="P19" s="110"/>
    </row>
    <row r="20" spans="1:16" x14ac:dyDescent="0.4">
      <c r="A20" s="110"/>
      <c r="B20" s="233" t="s">
        <v>512</v>
      </c>
      <c r="C20" s="233"/>
      <c r="D20" s="233"/>
      <c r="E20" s="233"/>
      <c r="F20" s="233"/>
      <c r="G20" s="233"/>
      <c r="H20" s="233"/>
      <c r="I20" s="233"/>
      <c r="J20" s="233"/>
      <c r="K20" s="233"/>
      <c r="L20" s="233"/>
      <c r="M20" s="233"/>
      <c r="N20" s="233"/>
      <c r="O20" s="233"/>
      <c r="P20" s="110"/>
    </row>
    <row r="21" spans="1:16" x14ac:dyDescent="0.4">
      <c r="A21" s="110"/>
      <c r="B21" s="111" t="s">
        <v>498</v>
      </c>
      <c r="C21" s="134">
        <v>46188</v>
      </c>
      <c r="D21" s="134">
        <v>46195</v>
      </c>
      <c r="E21" s="134">
        <v>46202</v>
      </c>
      <c r="F21" s="134">
        <v>46209</v>
      </c>
      <c r="G21" s="134">
        <v>46216</v>
      </c>
      <c r="H21" s="134">
        <v>46223</v>
      </c>
      <c r="I21" s="134">
        <v>46230</v>
      </c>
      <c r="J21" s="134">
        <v>46244</v>
      </c>
      <c r="K21" s="134">
        <v>46251</v>
      </c>
      <c r="L21" s="134">
        <v>46258</v>
      </c>
      <c r="M21" s="134">
        <v>46272</v>
      </c>
      <c r="N21" s="135" t="s">
        <v>510</v>
      </c>
      <c r="O21" s="110"/>
      <c r="P21" s="110"/>
    </row>
    <row r="22" spans="1:16" x14ac:dyDescent="0.4">
      <c r="A22" s="110"/>
      <c r="B22" s="136" t="s">
        <v>89</v>
      </c>
      <c r="C22" s="137" t="s">
        <v>481</v>
      </c>
      <c r="D22" s="115" t="s">
        <v>481</v>
      </c>
      <c r="E22" s="115" t="s">
        <v>481</v>
      </c>
      <c r="F22" s="115" t="s">
        <v>481</v>
      </c>
      <c r="G22" s="115" t="s">
        <v>481</v>
      </c>
      <c r="H22" s="115" t="s">
        <v>481</v>
      </c>
      <c r="I22" s="115" t="s">
        <v>481</v>
      </c>
      <c r="J22" s="115" t="s">
        <v>481</v>
      </c>
      <c r="K22" s="115" t="s">
        <v>481</v>
      </c>
      <c r="L22" s="115" t="s">
        <v>481</v>
      </c>
      <c r="M22" s="115" t="s">
        <v>481</v>
      </c>
      <c r="N22" s="136" t="s">
        <v>481</v>
      </c>
      <c r="O22" s="110"/>
      <c r="P22" s="110"/>
    </row>
    <row r="23" spans="1:16" x14ac:dyDescent="0.4">
      <c r="A23" s="110"/>
      <c r="B23" s="138" t="s">
        <v>93</v>
      </c>
      <c r="C23" s="139" t="s">
        <v>481</v>
      </c>
      <c r="D23" s="128" t="s">
        <v>481</v>
      </c>
      <c r="E23" s="128" t="s">
        <v>481</v>
      </c>
      <c r="F23" s="128" t="s">
        <v>481</v>
      </c>
      <c r="G23" s="128" t="s">
        <v>481</v>
      </c>
      <c r="H23" s="128" t="s">
        <v>481</v>
      </c>
      <c r="I23" s="128" t="s">
        <v>481</v>
      </c>
      <c r="J23" s="128" t="s">
        <v>481</v>
      </c>
      <c r="K23" s="128" t="s">
        <v>481</v>
      </c>
      <c r="L23" s="128" t="s">
        <v>481</v>
      </c>
      <c r="M23" s="128" t="s">
        <v>481</v>
      </c>
      <c r="N23" s="138" t="s">
        <v>481</v>
      </c>
      <c r="O23" s="110"/>
      <c r="P23" s="110"/>
    </row>
    <row r="24" spans="1:16" x14ac:dyDescent="0.4">
      <c r="A24" s="110"/>
      <c r="B24" s="140" t="s">
        <v>96</v>
      </c>
      <c r="C24" s="141" t="s">
        <v>481</v>
      </c>
      <c r="D24" s="142" t="s">
        <v>481</v>
      </c>
      <c r="E24" s="142" t="s">
        <v>481</v>
      </c>
      <c r="F24" s="142" t="s">
        <v>481</v>
      </c>
      <c r="G24" s="142" t="s">
        <v>481</v>
      </c>
      <c r="H24" s="142" t="s">
        <v>481</v>
      </c>
      <c r="I24" s="142" t="s">
        <v>481</v>
      </c>
      <c r="J24" s="142" t="s">
        <v>481</v>
      </c>
      <c r="K24" s="142" t="s">
        <v>481</v>
      </c>
      <c r="L24" s="142" t="s">
        <v>481</v>
      </c>
      <c r="M24" s="142" t="s">
        <v>481</v>
      </c>
      <c r="N24" s="140" t="s">
        <v>481</v>
      </c>
      <c r="O24" s="110"/>
      <c r="P24" s="110"/>
    </row>
    <row r="25" spans="1:16" x14ac:dyDescent="0.4">
      <c r="A25" s="110"/>
      <c r="B25" s="143" t="s">
        <v>99</v>
      </c>
      <c r="C25" s="144" t="s">
        <v>481</v>
      </c>
      <c r="D25" s="145" t="s">
        <v>481</v>
      </c>
      <c r="E25" s="145" t="s">
        <v>481</v>
      </c>
      <c r="F25" s="145" t="s">
        <v>481</v>
      </c>
      <c r="G25" s="145" t="s">
        <v>481</v>
      </c>
      <c r="H25" s="145" t="s">
        <v>481</v>
      </c>
      <c r="I25" s="145" t="s">
        <v>481</v>
      </c>
      <c r="J25" s="145" t="s">
        <v>481</v>
      </c>
      <c r="K25" s="145" t="s">
        <v>481</v>
      </c>
      <c r="L25" s="145" t="s">
        <v>481</v>
      </c>
      <c r="M25" s="145" t="s">
        <v>481</v>
      </c>
      <c r="N25" s="143" t="s">
        <v>481</v>
      </c>
      <c r="O25" s="110"/>
      <c r="P25" s="110"/>
    </row>
    <row r="26" spans="1:16" x14ac:dyDescent="0.4">
      <c r="A26" s="110"/>
      <c r="B26" s="146" t="s">
        <v>102</v>
      </c>
      <c r="C26" s="147" t="s">
        <v>481</v>
      </c>
      <c r="D26" s="148" t="s">
        <v>481</v>
      </c>
      <c r="E26" s="148" t="s">
        <v>481</v>
      </c>
      <c r="F26" s="148" t="s">
        <v>481</v>
      </c>
      <c r="G26" s="148" t="s">
        <v>481</v>
      </c>
      <c r="H26" s="148" t="s">
        <v>481</v>
      </c>
      <c r="I26" s="148" t="s">
        <v>481</v>
      </c>
      <c r="J26" s="148" t="s">
        <v>481</v>
      </c>
      <c r="K26" s="148" t="s">
        <v>481</v>
      </c>
      <c r="L26" s="148" t="s">
        <v>481</v>
      </c>
      <c r="M26" s="148" t="s">
        <v>481</v>
      </c>
      <c r="N26" s="146" t="s">
        <v>481</v>
      </c>
      <c r="O26" s="110"/>
      <c r="P26" s="110"/>
    </row>
    <row r="27" spans="1:16" x14ac:dyDescent="0.4">
      <c r="A27" s="110"/>
      <c r="B27" s="131" t="s">
        <v>510</v>
      </c>
      <c r="C27" s="132" t="s">
        <v>481</v>
      </c>
      <c r="D27" s="132" t="s">
        <v>481</v>
      </c>
      <c r="E27" s="132" t="s">
        <v>481</v>
      </c>
      <c r="F27" s="132" t="s">
        <v>481</v>
      </c>
      <c r="G27" s="132" t="s">
        <v>481</v>
      </c>
      <c r="H27" s="132" t="s">
        <v>481</v>
      </c>
      <c r="I27" s="132" t="s">
        <v>481</v>
      </c>
      <c r="J27" s="132" t="s">
        <v>481</v>
      </c>
      <c r="K27" s="132" t="s">
        <v>481</v>
      </c>
      <c r="L27" s="132" t="s">
        <v>481</v>
      </c>
      <c r="M27" s="132" t="s">
        <v>481</v>
      </c>
      <c r="N27" s="132" t="s">
        <v>481</v>
      </c>
      <c r="O27" s="110"/>
      <c r="P27" s="110"/>
    </row>
    <row r="28" spans="1:16" x14ac:dyDescent="0.4">
      <c r="A28" s="110"/>
      <c r="B28" s="110"/>
      <c r="C28" s="110"/>
      <c r="D28" s="110"/>
      <c r="E28" s="110"/>
      <c r="F28" s="110"/>
      <c r="G28" s="110"/>
      <c r="H28" s="110"/>
      <c r="I28" s="110"/>
      <c r="J28" s="110"/>
      <c r="K28" s="110"/>
      <c r="L28" s="110"/>
      <c r="M28" s="110"/>
      <c r="N28" s="110"/>
      <c r="O28" s="110"/>
      <c r="P28" s="110"/>
    </row>
    <row r="29" spans="1:16" x14ac:dyDescent="0.4">
      <c r="A29" s="110"/>
      <c r="B29" s="251" t="s">
        <v>513</v>
      </c>
      <c r="C29" s="251"/>
      <c r="D29" s="251"/>
      <c r="E29" s="251"/>
      <c r="F29" s="251"/>
      <c r="G29" s="251"/>
      <c r="H29" s="251"/>
      <c r="I29" s="251"/>
      <c r="J29" s="251"/>
      <c r="K29" s="251"/>
      <c r="L29" s="251"/>
      <c r="M29" s="251"/>
      <c r="N29" s="251"/>
      <c r="O29" s="251"/>
      <c r="P29" s="110"/>
    </row>
    <row r="30" spans="1:16" x14ac:dyDescent="0.4">
      <c r="A30" s="110"/>
      <c r="B30" s="110"/>
      <c r="C30" s="110"/>
      <c r="D30" s="110"/>
      <c r="E30" s="110"/>
      <c r="F30" s="110"/>
      <c r="G30" s="110"/>
      <c r="H30" s="110"/>
      <c r="I30" s="110"/>
      <c r="J30" s="110"/>
      <c r="K30" s="110"/>
      <c r="L30" s="110"/>
      <c r="M30" s="110"/>
      <c r="N30" s="110"/>
      <c r="O30" s="110"/>
      <c r="P30" s="110"/>
    </row>
    <row r="31" spans="1:16" x14ac:dyDescent="0.4">
      <c r="A31" s="110"/>
      <c r="B31" s="252" t="s">
        <v>514</v>
      </c>
      <c r="C31" s="252"/>
      <c r="D31" s="253" t="s">
        <v>151</v>
      </c>
      <c r="E31" s="253"/>
      <c r="F31" s="254" t="s">
        <v>142</v>
      </c>
      <c r="G31" s="254"/>
      <c r="H31" s="255" t="s">
        <v>515</v>
      </c>
      <c r="I31" s="255"/>
      <c r="J31" s="256" t="s">
        <v>516</v>
      </c>
      <c r="K31" s="256"/>
      <c r="L31" s="257" t="s">
        <v>517</v>
      </c>
      <c r="M31" s="257"/>
      <c r="N31" s="258" t="s">
        <v>518</v>
      </c>
      <c r="O31" s="258"/>
      <c r="P31" s="110"/>
    </row>
    <row r="32" spans="1:16" ht="15.75" customHeight="1" x14ac:dyDescent="0.65">
      <c r="A32" s="110"/>
      <c r="B32" s="246" t="s">
        <v>481</v>
      </c>
      <c r="C32" s="246"/>
      <c r="D32" s="247" t="s">
        <v>481</v>
      </c>
      <c r="E32" s="247"/>
      <c r="F32" s="248" t="s">
        <v>481</v>
      </c>
      <c r="G32" s="248"/>
      <c r="H32" s="249" t="s">
        <v>481</v>
      </c>
      <c r="I32" s="249"/>
      <c r="J32" s="250" t="s">
        <v>481</v>
      </c>
      <c r="K32" s="250"/>
      <c r="L32" s="239" t="s">
        <v>481</v>
      </c>
      <c r="M32" s="239"/>
      <c r="N32" s="240" t="s">
        <v>481</v>
      </c>
      <c r="O32" s="240"/>
      <c r="P32" s="110"/>
    </row>
    <row r="33" spans="1:16" x14ac:dyDescent="0.4">
      <c r="A33" s="110"/>
      <c r="B33" s="241" t="s">
        <v>519</v>
      </c>
      <c r="C33" s="241"/>
      <c r="D33" s="242" t="s">
        <v>481</v>
      </c>
      <c r="E33" s="242"/>
      <c r="F33" s="243" t="s">
        <v>481</v>
      </c>
      <c r="G33" s="243"/>
      <c r="H33" s="244" t="s">
        <v>520</v>
      </c>
      <c r="I33" s="244"/>
      <c r="J33" s="237" t="s">
        <v>521</v>
      </c>
      <c r="K33" s="237"/>
      <c r="L33" s="238" t="s">
        <v>522</v>
      </c>
      <c r="M33" s="238"/>
      <c r="N33" s="245" t="s">
        <v>481</v>
      </c>
      <c r="O33" s="245"/>
      <c r="P33" s="110"/>
    </row>
    <row r="34" spans="1:16" x14ac:dyDescent="0.4">
      <c r="A34" s="110"/>
      <c r="B34" s="110"/>
      <c r="C34" s="110"/>
      <c r="D34" s="110"/>
      <c r="E34" s="110"/>
      <c r="F34" s="110"/>
      <c r="G34" s="110"/>
      <c r="H34" s="110"/>
      <c r="I34" s="110"/>
      <c r="J34" s="110"/>
      <c r="K34" s="110"/>
      <c r="L34" s="110"/>
      <c r="M34" s="110"/>
      <c r="N34" s="110"/>
      <c r="O34" s="110"/>
      <c r="P34" s="110"/>
    </row>
    <row r="35" spans="1:16" x14ac:dyDescent="0.4">
      <c r="A35" s="110"/>
      <c r="B35" s="232" t="s">
        <v>523</v>
      </c>
      <c r="C35" s="232"/>
      <c r="D35" s="232"/>
      <c r="E35" s="232"/>
      <c r="F35" s="232"/>
      <c r="G35" s="232"/>
      <c r="H35" s="232"/>
      <c r="I35" s="110"/>
      <c r="J35" s="233" t="s">
        <v>524</v>
      </c>
      <c r="K35" s="233"/>
      <c r="L35" s="233"/>
      <c r="M35" s="233"/>
      <c r="N35" s="233"/>
      <c r="O35" s="233"/>
      <c r="P35" s="110"/>
    </row>
    <row r="36" spans="1:16" ht="25" x14ac:dyDescent="0.4">
      <c r="A36" s="110"/>
      <c r="B36" s="111" t="s">
        <v>525</v>
      </c>
      <c r="C36" s="112" t="s">
        <v>526</v>
      </c>
      <c r="D36" s="112" t="s">
        <v>527</v>
      </c>
      <c r="E36" s="112" t="s">
        <v>528</v>
      </c>
      <c r="F36" s="112" t="s">
        <v>529</v>
      </c>
      <c r="G36" s="110"/>
      <c r="H36" s="110"/>
      <c r="I36" s="110"/>
      <c r="J36" s="111" t="s">
        <v>530</v>
      </c>
      <c r="K36" s="112" t="s">
        <v>499</v>
      </c>
      <c r="L36" s="112" t="s">
        <v>151</v>
      </c>
      <c r="M36" s="112" t="s">
        <v>142</v>
      </c>
      <c r="N36" s="112" t="s">
        <v>294</v>
      </c>
      <c r="O36" s="112" t="s">
        <v>146</v>
      </c>
      <c r="P36" s="110"/>
    </row>
    <row r="37" spans="1:16" x14ac:dyDescent="0.4">
      <c r="A37" s="110"/>
      <c r="B37" s="149" t="s">
        <v>531</v>
      </c>
      <c r="C37" s="150" t="s">
        <v>481</v>
      </c>
      <c r="D37" s="151" t="s">
        <v>481</v>
      </c>
      <c r="E37" s="151" t="s">
        <v>481</v>
      </c>
      <c r="F37" s="110"/>
      <c r="G37" s="110"/>
      <c r="H37" s="110"/>
      <c r="I37" s="110"/>
      <c r="J37" s="113" t="s">
        <v>532</v>
      </c>
      <c r="K37" s="114" t="s">
        <v>481</v>
      </c>
      <c r="L37" s="152" t="s">
        <v>481</v>
      </c>
      <c r="M37" s="153" t="s">
        <v>481</v>
      </c>
      <c r="N37" s="154" t="s">
        <v>481</v>
      </c>
      <c r="O37" s="155" t="s">
        <v>481</v>
      </c>
      <c r="P37" s="110"/>
    </row>
    <row r="38" spans="1:16" x14ac:dyDescent="0.4">
      <c r="A38" s="110"/>
      <c r="B38" s="124" t="s">
        <v>533</v>
      </c>
      <c r="C38" s="156" t="s">
        <v>481</v>
      </c>
      <c r="D38" s="126" t="s">
        <v>481</v>
      </c>
      <c r="E38" s="157" t="s">
        <v>481</v>
      </c>
      <c r="F38" s="110"/>
      <c r="G38" s="110"/>
      <c r="H38" s="110"/>
      <c r="I38" s="110"/>
      <c r="J38" s="127" t="s">
        <v>141</v>
      </c>
      <c r="K38" s="130" t="s">
        <v>481</v>
      </c>
      <c r="L38" s="158" t="s">
        <v>481</v>
      </c>
      <c r="M38" s="129" t="s">
        <v>481</v>
      </c>
      <c r="N38" s="159" t="s">
        <v>481</v>
      </c>
      <c r="O38" s="160" t="s">
        <v>481</v>
      </c>
      <c r="P38" s="110"/>
    </row>
    <row r="39" spans="1:16" x14ac:dyDescent="0.4">
      <c r="A39" s="110"/>
      <c r="B39" s="161" t="s">
        <v>534</v>
      </c>
      <c r="C39" s="162" t="s">
        <v>481</v>
      </c>
      <c r="D39" s="142" t="s">
        <v>481</v>
      </c>
      <c r="E39" s="163" t="s">
        <v>481</v>
      </c>
      <c r="F39" s="110"/>
      <c r="G39" s="110"/>
      <c r="H39" s="110"/>
      <c r="I39" s="110"/>
      <c r="J39" s="161" t="s">
        <v>535</v>
      </c>
      <c r="K39" s="164" t="s">
        <v>481</v>
      </c>
      <c r="L39" s="165" t="s">
        <v>481</v>
      </c>
      <c r="M39" s="166" t="s">
        <v>481</v>
      </c>
      <c r="N39" s="167" t="s">
        <v>481</v>
      </c>
      <c r="O39" s="168" t="s">
        <v>481</v>
      </c>
      <c r="P39" s="110"/>
    </row>
    <row r="40" spans="1:16" x14ac:dyDescent="0.4">
      <c r="A40" s="110"/>
      <c r="B40" s="161" t="s">
        <v>536</v>
      </c>
      <c r="C40" s="162" t="s">
        <v>481</v>
      </c>
      <c r="D40" s="142" t="s">
        <v>481</v>
      </c>
      <c r="E40" s="163" t="s">
        <v>481</v>
      </c>
      <c r="F40" s="110"/>
      <c r="G40" s="110"/>
      <c r="H40" s="110"/>
      <c r="I40" s="110"/>
      <c r="J40" s="169" t="s">
        <v>537</v>
      </c>
      <c r="K40" s="170" t="s">
        <v>481</v>
      </c>
      <c r="L40" s="171" t="s">
        <v>481</v>
      </c>
      <c r="M40" s="172" t="s">
        <v>481</v>
      </c>
      <c r="N40" s="173" t="s">
        <v>481</v>
      </c>
      <c r="O40" s="174" t="s">
        <v>481</v>
      </c>
      <c r="P40" s="110"/>
    </row>
    <row r="41" spans="1:16" x14ac:dyDescent="0.4">
      <c r="A41" s="110"/>
      <c r="B41" s="161" t="s">
        <v>538</v>
      </c>
      <c r="C41" s="162" t="s">
        <v>481</v>
      </c>
      <c r="D41" s="142" t="s">
        <v>481</v>
      </c>
      <c r="E41" s="163" t="s">
        <v>481</v>
      </c>
      <c r="F41" s="110"/>
      <c r="G41" s="110"/>
      <c r="H41" s="110"/>
      <c r="I41" s="110"/>
      <c r="J41" s="131" t="s">
        <v>510</v>
      </c>
      <c r="K41" s="132" t="s">
        <v>481</v>
      </c>
      <c r="L41" s="132" t="s">
        <v>481</v>
      </c>
      <c r="M41" s="132" t="s">
        <v>481</v>
      </c>
      <c r="N41" s="132" t="s">
        <v>481</v>
      </c>
      <c r="O41" s="132" t="s">
        <v>481</v>
      </c>
      <c r="P41" s="110"/>
    </row>
    <row r="42" spans="1:16" x14ac:dyDescent="0.4">
      <c r="A42" s="110"/>
      <c r="B42" s="169" t="s">
        <v>539</v>
      </c>
      <c r="C42" s="175" t="s">
        <v>481</v>
      </c>
      <c r="D42" s="176" t="s">
        <v>481</v>
      </c>
      <c r="E42" s="177" t="s">
        <v>481</v>
      </c>
      <c r="F42" s="110"/>
      <c r="G42" s="110"/>
      <c r="H42" s="110"/>
      <c r="I42" s="110"/>
      <c r="J42" s="110"/>
      <c r="K42" s="110"/>
      <c r="L42" s="110"/>
      <c r="M42" s="110"/>
      <c r="N42" s="110"/>
      <c r="O42" s="110"/>
      <c r="P42" s="110"/>
    </row>
    <row r="43" spans="1:16" x14ac:dyDescent="0.4">
      <c r="A43" s="110"/>
      <c r="B43" s="234" t="s">
        <v>540</v>
      </c>
      <c r="C43" s="235"/>
      <c r="D43" s="235"/>
      <c r="E43" s="235"/>
      <c r="F43" s="235"/>
      <c r="G43" s="235"/>
      <c r="H43" s="236"/>
      <c r="I43" s="110"/>
      <c r="J43" s="233" t="s">
        <v>541</v>
      </c>
      <c r="K43" s="233"/>
      <c r="L43" s="233"/>
      <c r="M43" s="233"/>
      <c r="N43" s="233"/>
      <c r="O43" s="233"/>
      <c r="P43" s="110"/>
    </row>
    <row r="44" spans="1:16" ht="25" x14ac:dyDescent="0.4">
      <c r="A44" s="110"/>
      <c r="B44" s="111" t="s">
        <v>542</v>
      </c>
      <c r="C44" s="112" t="s">
        <v>543</v>
      </c>
      <c r="D44" s="112" t="s">
        <v>544</v>
      </c>
      <c r="E44" s="112" t="s">
        <v>545</v>
      </c>
      <c r="F44" s="112" t="s">
        <v>546</v>
      </c>
      <c r="G44" s="110"/>
      <c r="H44" s="110"/>
      <c r="I44" s="110"/>
      <c r="J44" s="111" t="s">
        <v>547</v>
      </c>
      <c r="K44" s="112" t="s">
        <v>548</v>
      </c>
      <c r="L44" s="112" t="s">
        <v>549</v>
      </c>
      <c r="M44" s="112" t="s">
        <v>550</v>
      </c>
      <c r="N44" s="112" t="s">
        <v>551</v>
      </c>
      <c r="O44" s="110"/>
      <c r="P44" s="110"/>
    </row>
    <row r="45" spans="1:16" x14ac:dyDescent="0.4">
      <c r="A45" s="110"/>
      <c r="B45" s="113" t="s">
        <v>552</v>
      </c>
      <c r="C45" s="178" t="s">
        <v>481</v>
      </c>
      <c r="D45" s="179" t="s">
        <v>481</v>
      </c>
      <c r="E45" s="115" t="s">
        <v>481</v>
      </c>
      <c r="F45" s="180" t="s">
        <v>481</v>
      </c>
      <c r="G45" s="110"/>
      <c r="H45" s="110"/>
      <c r="I45" s="110"/>
      <c r="J45" s="113" t="s">
        <v>553</v>
      </c>
      <c r="K45" s="115" t="s">
        <v>481</v>
      </c>
      <c r="L45" s="115" t="s">
        <v>481</v>
      </c>
      <c r="M45" s="180" t="s">
        <v>481</v>
      </c>
      <c r="N45" s="181" t="s">
        <v>554</v>
      </c>
      <c r="O45" s="110"/>
      <c r="P45" s="110"/>
    </row>
    <row r="46" spans="1:16" x14ac:dyDescent="0.4">
      <c r="A46" s="110"/>
      <c r="B46" s="127" t="s">
        <v>555</v>
      </c>
      <c r="C46" s="182" t="s">
        <v>481</v>
      </c>
      <c r="D46" s="183" t="s">
        <v>481</v>
      </c>
      <c r="E46" s="128" t="s">
        <v>481</v>
      </c>
      <c r="F46" s="184" t="s">
        <v>481</v>
      </c>
      <c r="G46" s="110"/>
      <c r="H46" s="110"/>
      <c r="I46" s="110"/>
      <c r="J46" s="124" t="s">
        <v>556</v>
      </c>
      <c r="K46" s="126" t="s">
        <v>481</v>
      </c>
      <c r="L46" s="126" t="s">
        <v>481</v>
      </c>
      <c r="M46" s="157" t="s">
        <v>481</v>
      </c>
      <c r="N46" s="185" t="s">
        <v>557</v>
      </c>
      <c r="O46" s="110"/>
      <c r="P46" s="110"/>
    </row>
    <row r="47" spans="1:16" x14ac:dyDescent="0.4">
      <c r="A47" s="110"/>
      <c r="B47" s="186" t="s">
        <v>558</v>
      </c>
      <c r="C47" s="187" t="s">
        <v>481</v>
      </c>
      <c r="D47" s="145" t="s">
        <v>481</v>
      </c>
      <c r="E47" s="145" t="s">
        <v>481</v>
      </c>
      <c r="F47" s="110"/>
      <c r="G47" s="110"/>
      <c r="H47" s="110"/>
      <c r="I47" s="110"/>
      <c r="J47" s="127" t="s">
        <v>559</v>
      </c>
      <c r="K47" s="128" t="s">
        <v>481</v>
      </c>
      <c r="L47" s="128" t="s">
        <v>481</v>
      </c>
      <c r="M47" s="184" t="s">
        <v>481</v>
      </c>
      <c r="N47" s="188" t="s">
        <v>560</v>
      </c>
      <c r="O47" s="110"/>
      <c r="P47" s="110"/>
    </row>
    <row r="48" spans="1:16" x14ac:dyDescent="0.4">
      <c r="A48" s="110"/>
      <c r="B48" s="110"/>
      <c r="C48" s="110"/>
      <c r="D48" s="110"/>
      <c r="E48" s="110"/>
      <c r="F48" s="110"/>
      <c r="G48" s="110"/>
      <c r="H48" s="110"/>
      <c r="I48" s="110"/>
      <c r="J48" s="127" t="s">
        <v>561</v>
      </c>
      <c r="K48" s="128" t="s">
        <v>481</v>
      </c>
      <c r="L48" s="128" t="s">
        <v>481</v>
      </c>
      <c r="M48" s="184" t="s">
        <v>481</v>
      </c>
      <c r="N48" s="188" t="s">
        <v>562</v>
      </c>
      <c r="O48" s="110"/>
      <c r="P48" s="110"/>
    </row>
    <row r="49" spans="1:16" x14ac:dyDescent="0.4">
      <c r="A49" s="110"/>
      <c r="B49" s="110"/>
      <c r="C49" s="110"/>
      <c r="D49" s="110"/>
      <c r="E49" s="110"/>
      <c r="F49" s="110"/>
      <c r="G49" s="110"/>
      <c r="H49" s="110"/>
      <c r="I49" s="110"/>
      <c r="J49" s="169" t="s">
        <v>563</v>
      </c>
      <c r="K49" s="176" t="s">
        <v>481</v>
      </c>
      <c r="L49" s="176" t="s">
        <v>481</v>
      </c>
      <c r="M49" s="177" t="s">
        <v>481</v>
      </c>
      <c r="N49" s="189" t="s">
        <v>564</v>
      </c>
      <c r="O49" s="110"/>
      <c r="P49" s="110"/>
    </row>
    <row r="50" spans="1:16" x14ac:dyDescent="0.4">
      <c r="A50" s="110"/>
      <c r="B50" s="110"/>
      <c r="C50" s="110"/>
      <c r="D50" s="110"/>
      <c r="E50" s="110"/>
      <c r="F50" s="110"/>
      <c r="G50" s="110"/>
      <c r="H50" s="110"/>
      <c r="I50" s="110"/>
      <c r="J50" s="161" t="s">
        <v>565</v>
      </c>
      <c r="K50" s="142" t="s">
        <v>481</v>
      </c>
      <c r="L50" s="142" t="s">
        <v>481</v>
      </c>
      <c r="M50" s="163" t="s">
        <v>481</v>
      </c>
      <c r="N50" s="190" t="s">
        <v>566</v>
      </c>
      <c r="O50" s="110"/>
      <c r="P50" s="110"/>
    </row>
    <row r="51" spans="1:16" x14ac:dyDescent="0.4">
      <c r="A51" s="110"/>
      <c r="B51" s="110"/>
      <c r="C51" s="110"/>
      <c r="D51" s="110"/>
      <c r="E51" s="110"/>
      <c r="F51" s="110"/>
      <c r="G51" s="110"/>
      <c r="H51" s="110"/>
      <c r="I51" s="110"/>
      <c r="J51" s="110"/>
      <c r="K51" s="110"/>
      <c r="L51" s="110"/>
      <c r="M51" s="110"/>
      <c r="N51" s="110"/>
      <c r="O51" s="110"/>
      <c r="P51" s="110"/>
    </row>
  </sheetData>
  <mergeCells count="53">
    <mergeCell ref="B2:O2"/>
    <mergeCell ref="B3:O3"/>
    <mergeCell ref="B5:O5"/>
    <mergeCell ref="B7:C7"/>
    <mergeCell ref="D7:E7"/>
    <mergeCell ref="F7:G7"/>
    <mergeCell ref="H7:I7"/>
    <mergeCell ref="J7:K7"/>
    <mergeCell ref="L7:M7"/>
    <mergeCell ref="N7:O7"/>
    <mergeCell ref="N8:O8"/>
    <mergeCell ref="B9:C9"/>
    <mergeCell ref="D9:E9"/>
    <mergeCell ref="F9:G9"/>
    <mergeCell ref="H9:I9"/>
    <mergeCell ref="J9:K9"/>
    <mergeCell ref="L9:M9"/>
    <mergeCell ref="N9:O9"/>
    <mergeCell ref="B8:C8"/>
    <mergeCell ref="D8:E8"/>
    <mergeCell ref="F8:G8"/>
    <mergeCell ref="H8:I8"/>
    <mergeCell ref="J8:K8"/>
    <mergeCell ref="L8:M8"/>
    <mergeCell ref="B11:H11"/>
    <mergeCell ref="J11:O11"/>
    <mergeCell ref="B20:O20"/>
    <mergeCell ref="B29:O29"/>
    <mergeCell ref="B31:C31"/>
    <mergeCell ref="D31:E31"/>
    <mergeCell ref="F31:G31"/>
    <mergeCell ref="H31:I31"/>
    <mergeCell ref="J31:K31"/>
    <mergeCell ref="L31:M31"/>
    <mergeCell ref="N31:O31"/>
    <mergeCell ref="L32:M32"/>
    <mergeCell ref="N32:O32"/>
    <mergeCell ref="B33:C33"/>
    <mergeCell ref="D33:E33"/>
    <mergeCell ref="F33:G33"/>
    <mergeCell ref="H33:I33"/>
    <mergeCell ref="N33:O33"/>
    <mergeCell ref="B32:C32"/>
    <mergeCell ref="D32:E32"/>
    <mergeCell ref="F32:G32"/>
    <mergeCell ref="H32:I32"/>
    <mergeCell ref="J32:K32"/>
    <mergeCell ref="B35:H35"/>
    <mergeCell ref="J35:O35"/>
    <mergeCell ref="B43:H43"/>
    <mergeCell ref="J43:O43"/>
    <mergeCell ref="J33:K33"/>
    <mergeCell ref="L33:M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83BB-68F1-42C0-B86A-A5DCC521207F}">
  <dimension ref="A2:O23"/>
  <sheetViews>
    <sheetView workbookViewId="0">
      <selection activeCell="C8" sqref="C8"/>
    </sheetView>
  </sheetViews>
  <sheetFormatPr defaultRowHeight="16" x14ac:dyDescent="0.4"/>
  <cols>
    <col min="1" max="1" width="22.25" bestFit="1" customWidth="1"/>
    <col min="2" max="2" width="17.5" bestFit="1" customWidth="1"/>
    <col min="3" max="3" width="11.58203125" bestFit="1" customWidth="1"/>
    <col min="4" max="4" width="9.25" customWidth="1"/>
    <col min="5" max="5" width="8.33203125" bestFit="1" customWidth="1"/>
    <col min="6" max="6" width="10.5" bestFit="1" customWidth="1"/>
    <col min="7" max="7" width="15.83203125" bestFit="1" customWidth="1"/>
    <col min="8" max="8" width="8.75" bestFit="1" customWidth="1"/>
    <col min="9" max="9" width="12.33203125" bestFit="1" customWidth="1"/>
    <col min="10" max="10" width="17" bestFit="1" customWidth="1"/>
    <col min="11" max="11" width="8.75" bestFit="1" customWidth="1"/>
    <col min="12" max="12" width="12.33203125" bestFit="1" customWidth="1"/>
    <col min="13" max="13" width="8.75" bestFit="1" customWidth="1"/>
    <col min="14" max="14" width="17" bestFit="1" customWidth="1"/>
    <col min="15" max="15" width="10.5" bestFit="1" customWidth="1"/>
  </cols>
  <sheetData>
    <row r="2" spans="1:15" x14ac:dyDescent="0.4">
      <c r="A2" s="222" t="s">
        <v>567</v>
      </c>
      <c r="B2" s="222" t="s">
        <v>131</v>
      </c>
      <c r="C2" s="192"/>
      <c r="D2" s="192"/>
      <c r="E2" s="192"/>
      <c r="F2" s="192"/>
      <c r="G2" s="192"/>
      <c r="H2" s="192"/>
      <c r="I2" s="192"/>
      <c r="J2" s="192"/>
      <c r="K2" s="192"/>
      <c r="L2" s="192"/>
      <c r="M2" s="192"/>
      <c r="N2" s="192"/>
      <c r="O2" s="192"/>
    </row>
    <row r="3" spans="1:15" x14ac:dyDescent="0.4">
      <c r="A3" s="222" t="s">
        <v>123</v>
      </c>
      <c r="B3" s="192" t="s">
        <v>274</v>
      </c>
      <c r="C3" s="192" t="s">
        <v>232</v>
      </c>
      <c r="D3" s="192" t="s">
        <v>184</v>
      </c>
      <c r="E3" s="192" t="s">
        <v>161</v>
      </c>
      <c r="F3" s="192" t="s">
        <v>295</v>
      </c>
      <c r="G3" s="192" t="s">
        <v>350</v>
      </c>
      <c r="H3" s="192" t="s">
        <v>147</v>
      </c>
      <c r="I3" s="192" t="s">
        <v>381</v>
      </c>
      <c r="J3" s="192" t="s">
        <v>152</v>
      </c>
      <c r="K3" s="192" t="s">
        <v>144</v>
      </c>
      <c r="L3" s="192" t="s">
        <v>265</v>
      </c>
      <c r="M3" s="192" t="s">
        <v>160</v>
      </c>
      <c r="N3" s="192" t="s">
        <v>235</v>
      </c>
      <c r="O3" s="192" t="s">
        <v>568</v>
      </c>
    </row>
    <row r="4" spans="1:15" x14ac:dyDescent="0.4">
      <c r="A4" s="192" t="s">
        <v>75</v>
      </c>
      <c r="B4" s="192">
        <v>1</v>
      </c>
      <c r="C4" s="192"/>
      <c r="D4" s="192"/>
      <c r="E4" s="192">
        <v>1</v>
      </c>
      <c r="F4" s="192"/>
      <c r="G4" s="192"/>
      <c r="H4" s="192">
        <v>6</v>
      </c>
      <c r="I4" s="192">
        <v>3</v>
      </c>
      <c r="J4" s="192">
        <v>14</v>
      </c>
      <c r="K4" s="192">
        <v>2</v>
      </c>
      <c r="L4" s="192"/>
      <c r="M4" s="192">
        <v>1</v>
      </c>
      <c r="N4" s="192">
        <v>1</v>
      </c>
      <c r="O4" s="192">
        <v>29</v>
      </c>
    </row>
    <row r="5" spans="1:15" x14ac:dyDescent="0.4">
      <c r="A5" s="192" t="s">
        <v>259</v>
      </c>
      <c r="B5" s="192">
        <v>1</v>
      </c>
      <c r="C5" s="192"/>
      <c r="D5" s="192">
        <v>2</v>
      </c>
      <c r="E5" s="192"/>
      <c r="F5" s="192"/>
      <c r="G5" s="192"/>
      <c r="H5" s="192"/>
      <c r="I5" s="192">
        <v>1</v>
      </c>
      <c r="J5" s="192"/>
      <c r="K5" s="192"/>
      <c r="L5" s="192">
        <v>1</v>
      </c>
      <c r="M5" s="192">
        <v>1</v>
      </c>
      <c r="N5" s="192"/>
      <c r="O5" s="192">
        <v>6</v>
      </c>
    </row>
    <row r="6" spans="1:15" x14ac:dyDescent="0.4">
      <c r="A6" s="192" t="s">
        <v>173</v>
      </c>
      <c r="B6" s="192"/>
      <c r="C6" s="192">
        <v>1</v>
      </c>
      <c r="D6" s="192"/>
      <c r="E6" s="192"/>
      <c r="F6" s="192"/>
      <c r="G6" s="192"/>
      <c r="H6" s="192">
        <v>6</v>
      </c>
      <c r="I6" s="192"/>
      <c r="J6" s="192">
        <v>35</v>
      </c>
      <c r="K6" s="192">
        <v>1</v>
      </c>
      <c r="L6" s="192"/>
      <c r="M6" s="192">
        <v>2</v>
      </c>
      <c r="N6" s="192">
        <v>1</v>
      </c>
      <c r="O6" s="192">
        <v>46</v>
      </c>
    </row>
    <row r="7" spans="1:15" x14ac:dyDescent="0.4">
      <c r="A7" s="192" t="s">
        <v>154</v>
      </c>
      <c r="B7" s="192"/>
      <c r="C7" s="192"/>
      <c r="D7" s="192">
        <v>5</v>
      </c>
      <c r="E7" s="192">
        <v>1</v>
      </c>
      <c r="F7" s="192">
        <v>4</v>
      </c>
      <c r="G7" s="192">
        <v>1</v>
      </c>
      <c r="H7" s="192">
        <v>12</v>
      </c>
      <c r="I7" s="192"/>
      <c r="J7" s="192">
        <v>49</v>
      </c>
      <c r="K7" s="192">
        <v>6</v>
      </c>
      <c r="L7" s="192"/>
      <c r="M7" s="192">
        <v>2</v>
      </c>
      <c r="N7" s="192">
        <v>1</v>
      </c>
      <c r="O7" s="192">
        <v>81</v>
      </c>
    </row>
    <row r="8" spans="1:15" x14ac:dyDescent="0.4">
      <c r="A8" s="192" t="s">
        <v>141</v>
      </c>
      <c r="B8" s="192"/>
      <c r="C8" s="192"/>
      <c r="D8" s="192">
        <v>2</v>
      </c>
      <c r="E8" s="192"/>
      <c r="F8" s="192">
        <v>1</v>
      </c>
      <c r="G8" s="192"/>
      <c r="H8" s="192">
        <v>2</v>
      </c>
      <c r="I8" s="192"/>
      <c r="J8" s="192">
        <v>19</v>
      </c>
      <c r="K8" s="192">
        <v>4</v>
      </c>
      <c r="L8" s="192"/>
      <c r="M8" s="192"/>
      <c r="N8" s="192">
        <v>2</v>
      </c>
      <c r="O8" s="192">
        <v>30</v>
      </c>
    </row>
    <row r="9" spans="1:15" x14ac:dyDescent="0.4">
      <c r="A9" s="192" t="s">
        <v>165</v>
      </c>
      <c r="B9" s="192"/>
      <c r="C9" s="192"/>
      <c r="D9" s="192">
        <v>4</v>
      </c>
      <c r="E9" s="192"/>
      <c r="F9" s="192">
        <v>1</v>
      </c>
      <c r="G9" s="192"/>
      <c r="H9" s="192">
        <v>20</v>
      </c>
      <c r="I9" s="192">
        <v>1</v>
      </c>
      <c r="J9" s="192">
        <v>45</v>
      </c>
      <c r="K9" s="192">
        <v>3</v>
      </c>
      <c r="L9" s="192">
        <v>1</v>
      </c>
      <c r="M9" s="192">
        <v>4</v>
      </c>
      <c r="N9" s="192">
        <v>3</v>
      </c>
      <c r="O9" s="192">
        <v>82</v>
      </c>
    </row>
    <row r="10" spans="1:15" x14ac:dyDescent="0.4">
      <c r="A10" s="192" t="s">
        <v>69</v>
      </c>
      <c r="B10" s="192"/>
      <c r="C10" s="192"/>
      <c r="D10" s="192"/>
      <c r="E10" s="192">
        <v>1</v>
      </c>
      <c r="F10" s="192"/>
      <c r="G10" s="192"/>
      <c r="H10" s="192">
        <v>4</v>
      </c>
      <c r="I10" s="192">
        <v>2</v>
      </c>
      <c r="J10" s="192">
        <v>16</v>
      </c>
      <c r="K10" s="192">
        <v>1</v>
      </c>
      <c r="L10" s="192">
        <v>1</v>
      </c>
      <c r="M10" s="192"/>
      <c r="N10" s="192">
        <v>1</v>
      </c>
      <c r="O10" s="192">
        <v>26</v>
      </c>
    </row>
    <row r="11" spans="1:15" x14ac:dyDescent="0.4">
      <c r="A11" s="192" t="s">
        <v>568</v>
      </c>
      <c r="B11" s="192">
        <v>2</v>
      </c>
      <c r="C11" s="192">
        <v>1</v>
      </c>
      <c r="D11" s="192">
        <v>13</v>
      </c>
      <c r="E11" s="192">
        <v>3</v>
      </c>
      <c r="F11" s="192">
        <v>6</v>
      </c>
      <c r="G11" s="192">
        <v>1</v>
      </c>
      <c r="H11" s="192">
        <v>50</v>
      </c>
      <c r="I11" s="192">
        <v>7</v>
      </c>
      <c r="J11" s="192">
        <v>178</v>
      </c>
      <c r="K11" s="192">
        <v>17</v>
      </c>
      <c r="L11" s="192">
        <v>3</v>
      </c>
      <c r="M11" s="192">
        <v>10</v>
      </c>
      <c r="N11" s="192">
        <v>9</v>
      </c>
      <c r="O11" s="192">
        <v>300</v>
      </c>
    </row>
    <row r="14" spans="1:15" x14ac:dyDescent="0.4">
      <c r="A14" s="222" t="s">
        <v>569</v>
      </c>
      <c r="B14" s="222" t="s">
        <v>126</v>
      </c>
      <c r="C14" s="192"/>
      <c r="D14" s="192"/>
      <c r="E14" s="192"/>
      <c r="F14" s="192"/>
    </row>
    <row r="15" spans="1:15" x14ac:dyDescent="0.4">
      <c r="A15" s="222" t="s">
        <v>123</v>
      </c>
      <c r="B15" s="192" t="s">
        <v>142</v>
      </c>
      <c r="C15" s="192" t="s">
        <v>146</v>
      </c>
      <c r="D15" s="192" t="s">
        <v>151</v>
      </c>
      <c r="E15" s="192" t="s">
        <v>294</v>
      </c>
      <c r="F15" s="192" t="s">
        <v>568</v>
      </c>
    </row>
    <row r="16" spans="1:15" x14ac:dyDescent="0.4">
      <c r="A16" s="192" t="s">
        <v>75</v>
      </c>
      <c r="B16" s="192">
        <v>8</v>
      </c>
      <c r="C16" s="192">
        <v>6</v>
      </c>
      <c r="D16" s="192">
        <v>15</v>
      </c>
      <c r="E16" s="192"/>
      <c r="F16" s="192">
        <v>29</v>
      </c>
    </row>
    <row r="17" spans="1:6" x14ac:dyDescent="0.4">
      <c r="A17" s="192" t="s">
        <v>259</v>
      </c>
      <c r="B17" s="192">
        <v>6</v>
      </c>
      <c r="C17" s="192"/>
      <c r="D17" s="192"/>
      <c r="E17" s="192"/>
      <c r="F17" s="192">
        <v>6</v>
      </c>
    </row>
    <row r="18" spans="1:6" x14ac:dyDescent="0.4">
      <c r="A18" s="192" t="s">
        <v>173</v>
      </c>
      <c r="B18" s="192">
        <v>5</v>
      </c>
      <c r="C18" s="192">
        <v>6</v>
      </c>
      <c r="D18" s="192">
        <v>35</v>
      </c>
      <c r="E18" s="192"/>
      <c r="F18" s="192">
        <v>46</v>
      </c>
    </row>
    <row r="19" spans="1:6" x14ac:dyDescent="0.4">
      <c r="A19" s="192" t="s">
        <v>154</v>
      </c>
      <c r="B19" s="192">
        <v>17</v>
      </c>
      <c r="C19" s="192">
        <v>14</v>
      </c>
      <c r="D19" s="192">
        <v>46</v>
      </c>
      <c r="E19" s="192">
        <v>4</v>
      </c>
      <c r="F19" s="192">
        <v>81</v>
      </c>
    </row>
    <row r="20" spans="1:6" x14ac:dyDescent="0.4">
      <c r="A20" s="192" t="s">
        <v>141</v>
      </c>
      <c r="B20" s="192">
        <v>7</v>
      </c>
      <c r="C20" s="192">
        <v>3</v>
      </c>
      <c r="D20" s="192">
        <v>19</v>
      </c>
      <c r="E20" s="192">
        <v>1</v>
      </c>
      <c r="F20" s="192">
        <v>30</v>
      </c>
    </row>
    <row r="21" spans="1:6" x14ac:dyDescent="0.4">
      <c r="A21" s="192" t="s">
        <v>165</v>
      </c>
      <c r="B21" s="192">
        <v>15</v>
      </c>
      <c r="C21" s="192">
        <v>21</v>
      </c>
      <c r="D21" s="192">
        <v>45</v>
      </c>
      <c r="E21" s="192">
        <v>1</v>
      </c>
      <c r="F21" s="192">
        <v>82</v>
      </c>
    </row>
    <row r="22" spans="1:6" x14ac:dyDescent="0.4">
      <c r="A22" s="192" t="s">
        <v>69</v>
      </c>
      <c r="B22" s="192">
        <v>8</v>
      </c>
      <c r="C22" s="192">
        <v>4</v>
      </c>
      <c r="D22" s="192">
        <v>14</v>
      </c>
      <c r="E22" s="192"/>
      <c r="F22" s="192">
        <v>26</v>
      </c>
    </row>
    <row r="23" spans="1:6" x14ac:dyDescent="0.4">
      <c r="A23" s="192" t="s">
        <v>568</v>
      </c>
      <c r="B23" s="192">
        <v>66</v>
      </c>
      <c r="C23" s="192">
        <v>54</v>
      </c>
      <c r="D23" s="192">
        <v>174</v>
      </c>
      <c r="E23" s="192">
        <v>6</v>
      </c>
      <c r="F23" s="192">
        <v>300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DE1F9-69FE-472A-8026-0FC93F472B5A}">
  <sheetPr>
    <tabColor theme="5"/>
  </sheetPr>
  <dimension ref="B2:M71"/>
  <sheetViews>
    <sheetView showGridLines="0" zoomScale="70" zoomScaleNormal="70" workbookViewId="0">
      <selection activeCell="A4" sqref="A4"/>
    </sheetView>
  </sheetViews>
  <sheetFormatPr defaultColWidth="8.5" defaultRowHeight="16" x14ac:dyDescent="0.4"/>
  <cols>
    <col min="1" max="1" width="3.5" style="1" customWidth="1"/>
    <col min="2" max="2" width="23.5" style="1" bestFit="1" customWidth="1"/>
    <col min="3" max="3" width="65.5" style="1" bestFit="1" customWidth="1"/>
    <col min="4" max="4" width="2.33203125" style="1" customWidth="1"/>
    <col min="5" max="5" width="8.5" style="1" customWidth="1"/>
    <col min="6" max="6" width="22.33203125" style="1" bestFit="1" customWidth="1"/>
    <col min="7" max="7" width="22.33203125" style="1" customWidth="1"/>
    <col min="8" max="8" width="13.83203125" style="1" bestFit="1" customWidth="1"/>
    <col min="9" max="9" width="16.83203125" style="1" customWidth="1"/>
    <col min="10" max="10" width="18.83203125" style="1" bestFit="1" customWidth="1"/>
    <col min="11" max="11" width="13.58203125" style="1" customWidth="1"/>
    <col min="12" max="12" width="12.83203125" style="1" bestFit="1" customWidth="1"/>
    <col min="13" max="16384" width="8.5" style="1"/>
  </cols>
  <sheetData>
    <row r="2" spans="2:13" x14ac:dyDescent="0.4">
      <c r="B2"/>
    </row>
    <row r="3" spans="2:13" x14ac:dyDescent="0.4">
      <c r="B3" s="12" t="s">
        <v>570</v>
      </c>
      <c r="C3" s="12" t="s">
        <v>571</v>
      </c>
      <c r="E3" s="23" t="s">
        <v>9</v>
      </c>
      <c r="F3" s="14" t="s">
        <v>572</v>
      </c>
      <c r="G3" s="14" t="s">
        <v>75</v>
      </c>
      <c r="H3" s="14" t="s">
        <v>573</v>
      </c>
      <c r="I3" s="14" t="s">
        <v>574</v>
      </c>
      <c r="J3" s="14" t="s">
        <v>575</v>
      </c>
      <c r="K3" s="14" t="s">
        <v>576</v>
      </c>
      <c r="L3" s="14" t="s">
        <v>577</v>
      </c>
      <c r="M3" s="14" t="s">
        <v>101</v>
      </c>
    </row>
    <row r="4" spans="2:13" ht="53" x14ac:dyDescent="0.4">
      <c r="B4" s="64" t="s">
        <v>578</v>
      </c>
      <c r="C4" s="64" t="s">
        <v>579</v>
      </c>
      <c r="E4" s="24">
        <v>1</v>
      </c>
      <c r="F4" s="31" t="s">
        <v>580</v>
      </c>
      <c r="G4" s="31" t="s">
        <v>580</v>
      </c>
      <c r="H4" s="31" t="s">
        <v>581</v>
      </c>
      <c r="I4" s="31" t="s">
        <v>581</v>
      </c>
      <c r="J4" s="31" t="s">
        <v>581</v>
      </c>
      <c r="K4" s="31" t="s">
        <v>581</v>
      </c>
      <c r="L4" s="31" t="s">
        <v>582</v>
      </c>
      <c r="M4" s="31" t="s">
        <v>581</v>
      </c>
    </row>
    <row r="5" spans="2:13" ht="131" x14ac:dyDescent="0.4">
      <c r="B5" s="64" t="s">
        <v>583</v>
      </c>
      <c r="C5" s="64" t="s">
        <v>584</v>
      </c>
      <c r="E5" s="24">
        <v>2</v>
      </c>
      <c r="F5" s="31" t="s">
        <v>580</v>
      </c>
      <c r="G5" s="31" t="s">
        <v>580</v>
      </c>
      <c r="H5" s="31" t="s">
        <v>585</v>
      </c>
      <c r="I5" s="31" t="s">
        <v>585</v>
      </c>
      <c r="J5" s="31" t="s">
        <v>585</v>
      </c>
      <c r="K5" s="31" t="s">
        <v>585</v>
      </c>
      <c r="L5" s="31" t="s">
        <v>463</v>
      </c>
      <c r="M5" s="31" t="s">
        <v>585</v>
      </c>
    </row>
    <row r="6" spans="2:13" ht="79" x14ac:dyDescent="0.4">
      <c r="B6" s="64" t="s">
        <v>586</v>
      </c>
      <c r="C6" s="64" t="s">
        <v>587</v>
      </c>
      <c r="E6" s="24">
        <v>3</v>
      </c>
      <c r="F6" s="31" t="s">
        <v>580</v>
      </c>
      <c r="G6" s="31" t="s">
        <v>580</v>
      </c>
      <c r="H6" s="31" t="s">
        <v>588</v>
      </c>
      <c r="I6" s="31" t="s">
        <v>588</v>
      </c>
      <c r="J6" s="31" t="s">
        <v>588</v>
      </c>
      <c r="K6" s="31" t="s">
        <v>588</v>
      </c>
      <c r="L6" s="31" t="s">
        <v>589</v>
      </c>
      <c r="M6" s="31" t="s">
        <v>588</v>
      </c>
    </row>
    <row r="7" spans="2:13" ht="92" x14ac:dyDescent="0.4">
      <c r="B7" s="64" t="s">
        <v>590</v>
      </c>
      <c r="C7" s="64" t="s">
        <v>591</v>
      </c>
      <c r="E7" s="24">
        <v>4</v>
      </c>
      <c r="F7" s="31" t="s">
        <v>580</v>
      </c>
      <c r="G7" s="31" t="s">
        <v>580</v>
      </c>
      <c r="H7" s="31" t="s">
        <v>592</v>
      </c>
      <c r="I7" s="31" t="s">
        <v>592</v>
      </c>
      <c r="J7" s="31" t="s">
        <v>592</v>
      </c>
      <c r="K7" s="31" t="s">
        <v>592</v>
      </c>
      <c r="L7" s="31" t="s">
        <v>582</v>
      </c>
      <c r="M7" s="31" t="s">
        <v>592</v>
      </c>
    </row>
    <row r="8" spans="2:13" ht="66" x14ac:dyDescent="0.4">
      <c r="B8" s="64" t="s">
        <v>165</v>
      </c>
      <c r="C8" s="64" t="s">
        <v>593</v>
      </c>
      <c r="E8" s="24">
        <v>5</v>
      </c>
      <c r="F8" s="31" t="s">
        <v>580</v>
      </c>
      <c r="G8" s="31" t="s">
        <v>580</v>
      </c>
      <c r="H8" s="31" t="s">
        <v>594</v>
      </c>
      <c r="I8" s="31" t="s">
        <v>592</v>
      </c>
      <c r="J8" s="31" t="s">
        <v>592</v>
      </c>
      <c r="K8" s="31" t="s">
        <v>592</v>
      </c>
      <c r="L8" s="31" t="s">
        <v>582</v>
      </c>
      <c r="M8" s="31" t="s">
        <v>582</v>
      </c>
    </row>
    <row r="9" spans="2:13" ht="66" x14ac:dyDescent="0.4">
      <c r="B9" s="64" t="s">
        <v>595</v>
      </c>
      <c r="C9" s="64" t="s">
        <v>593</v>
      </c>
    </row>
    <row r="10" spans="2:13" ht="40" x14ac:dyDescent="0.4">
      <c r="B10" s="64" t="s">
        <v>141</v>
      </c>
      <c r="C10" s="64" t="s">
        <v>596</v>
      </c>
    </row>
    <row r="11" spans="2:13" ht="40" x14ac:dyDescent="0.4">
      <c r="B11" s="64" t="s">
        <v>597</v>
      </c>
      <c r="C11" s="64" t="s">
        <v>596</v>
      </c>
    </row>
    <row r="12" spans="2:13" ht="118" x14ac:dyDescent="0.4">
      <c r="B12" s="64" t="s">
        <v>75</v>
      </c>
      <c r="C12" s="64" t="s">
        <v>77</v>
      </c>
    </row>
    <row r="13" spans="2:13" ht="157" x14ac:dyDescent="0.4">
      <c r="B13" s="64" t="s">
        <v>69</v>
      </c>
      <c r="C13" s="64" t="s">
        <v>598</v>
      </c>
    </row>
    <row r="14" spans="2:13" x14ac:dyDescent="0.4">
      <c r="B14" s="64" t="s">
        <v>599</v>
      </c>
      <c r="C14" s="64" t="s">
        <v>63</v>
      </c>
    </row>
    <row r="15" spans="2:13" x14ac:dyDescent="0.4">
      <c r="B15" s="13" t="s">
        <v>101</v>
      </c>
      <c r="C15" s="21"/>
    </row>
    <row r="16" spans="2:13" x14ac:dyDescent="0.4">
      <c r="B16" s="13"/>
      <c r="C16" s="21"/>
    </row>
    <row r="17" spans="2:3" x14ac:dyDescent="0.4">
      <c r="B17" s="13"/>
      <c r="C17" s="21"/>
    </row>
    <row r="18" spans="2:3" x14ac:dyDescent="0.4">
      <c r="B18" s="13"/>
      <c r="C18" s="21"/>
    </row>
    <row r="19" spans="2:3" x14ac:dyDescent="0.4">
      <c r="B19" s="13"/>
      <c r="C19" s="21"/>
    </row>
    <row r="20" spans="2:3" x14ac:dyDescent="0.4">
      <c r="B20" s="13"/>
      <c r="C20" s="21"/>
    </row>
    <row r="21" spans="2:3" x14ac:dyDescent="0.4">
      <c r="B21" s="13"/>
      <c r="C21" s="21"/>
    </row>
    <row r="22" spans="2:3" x14ac:dyDescent="0.4">
      <c r="B22" s="13"/>
      <c r="C22" s="21"/>
    </row>
    <row r="23" spans="2:3" x14ac:dyDescent="0.4">
      <c r="B23" s="13"/>
      <c r="C23" s="21"/>
    </row>
    <row r="24" spans="2:3" x14ac:dyDescent="0.4">
      <c r="B24" s="13"/>
      <c r="C24" s="21"/>
    </row>
    <row r="25" spans="2:3" x14ac:dyDescent="0.4">
      <c r="B25" s="13"/>
      <c r="C25" s="21"/>
    </row>
    <row r="26" spans="2:3" x14ac:dyDescent="0.4">
      <c r="B26" s="13"/>
      <c r="C26" s="21"/>
    </row>
    <row r="27" spans="2:3" x14ac:dyDescent="0.4">
      <c r="B27" s="13"/>
      <c r="C27" s="21"/>
    </row>
    <row r="28" spans="2:3" x14ac:dyDescent="0.4">
      <c r="B28" s="13"/>
      <c r="C28" s="21"/>
    </row>
    <row r="29" spans="2:3" x14ac:dyDescent="0.4">
      <c r="B29" s="13"/>
      <c r="C29" s="21"/>
    </row>
    <row r="30" spans="2:3" x14ac:dyDescent="0.4">
      <c r="B30" s="13"/>
      <c r="C30" s="21"/>
    </row>
    <row r="31" spans="2:3" x14ac:dyDescent="0.4">
      <c r="B31"/>
    </row>
    <row r="32" spans="2:3" x14ac:dyDescent="0.4">
      <c r="B32"/>
    </row>
    <row r="33" spans="2:2" x14ac:dyDescent="0.4">
      <c r="B33"/>
    </row>
    <row r="34" spans="2:2" x14ac:dyDescent="0.4">
      <c r="B34"/>
    </row>
    <row r="35" spans="2:2" x14ac:dyDescent="0.4">
      <c r="B35"/>
    </row>
    <row r="36" spans="2:2" x14ac:dyDescent="0.4">
      <c r="B36"/>
    </row>
    <row r="37" spans="2:2" x14ac:dyDescent="0.4">
      <c r="B37"/>
    </row>
    <row r="38" spans="2:2" x14ac:dyDescent="0.4">
      <c r="B38"/>
    </row>
    <row r="39" spans="2:2" x14ac:dyDescent="0.4">
      <c r="B39"/>
    </row>
    <row r="40" spans="2:2" x14ac:dyDescent="0.4">
      <c r="B40"/>
    </row>
    <row r="41" spans="2:2" x14ac:dyDescent="0.4">
      <c r="B41"/>
    </row>
    <row r="42" spans="2:2" x14ac:dyDescent="0.4">
      <c r="B42"/>
    </row>
    <row r="43" spans="2:2" x14ac:dyDescent="0.4">
      <c r="B43"/>
    </row>
    <row r="44" spans="2:2" x14ac:dyDescent="0.4">
      <c r="B44"/>
    </row>
    <row r="45" spans="2:2" x14ac:dyDescent="0.4">
      <c r="B45"/>
    </row>
    <row r="46" spans="2:2" x14ac:dyDescent="0.4">
      <c r="B46"/>
    </row>
    <row r="47" spans="2:2" x14ac:dyDescent="0.4">
      <c r="B47"/>
    </row>
    <row r="48" spans="2:2" x14ac:dyDescent="0.4">
      <c r="B48"/>
    </row>
    <row r="49" spans="2:2" x14ac:dyDescent="0.4">
      <c r="B49"/>
    </row>
    <row r="50" spans="2:2" x14ac:dyDescent="0.4">
      <c r="B50"/>
    </row>
    <row r="51" spans="2:2" x14ac:dyDescent="0.4">
      <c r="B51"/>
    </row>
    <row r="52" spans="2:2" x14ac:dyDescent="0.4">
      <c r="B52"/>
    </row>
    <row r="53" spans="2:2" x14ac:dyDescent="0.4">
      <c r="B53"/>
    </row>
    <row r="54" spans="2:2" x14ac:dyDescent="0.4">
      <c r="B54"/>
    </row>
    <row r="55" spans="2:2" x14ac:dyDescent="0.4">
      <c r="B55"/>
    </row>
    <row r="56" spans="2:2" x14ac:dyDescent="0.4">
      <c r="B56"/>
    </row>
    <row r="57" spans="2:2" x14ac:dyDescent="0.4">
      <c r="B57"/>
    </row>
    <row r="58" spans="2:2" x14ac:dyDescent="0.4">
      <c r="B58"/>
    </row>
    <row r="59" spans="2:2" x14ac:dyDescent="0.4">
      <c r="B59"/>
    </row>
    <row r="60" spans="2:2" x14ac:dyDescent="0.4">
      <c r="B60"/>
    </row>
    <row r="61" spans="2:2" x14ac:dyDescent="0.4">
      <c r="B61"/>
    </row>
    <row r="62" spans="2:2" x14ac:dyDescent="0.4">
      <c r="B62"/>
    </row>
    <row r="63" spans="2:2" x14ac:dyDescent="0.4">
      <c r="B63"/>
    </row>
    <row r="64" spans="2:2" x14ac:dyDescent="0.4">
      <c r="B64"/>
    </row>
    <row r="65" spans="2:2" x14ac:dyDescent="0.4">
      <c r="B65"/>
    </row>
    <row r="66" spans="2:2" x14ac:dyDescent="0.4">
      <c r="B66"/>
    </row>
    <row r="67" spans="2:2" x14ac:dyDescent="0.4">
      <c r="B67"/>
    </row>
    <row r="68" spans="2:2" x14ac:dyDescent="0.4">
      <c r="B68"/>
    </row>
    <row r="69" spans="2:2" x14ac:dyDescent="0.4">
      <c r="B69"/>
    </row>
    <row r="70" spans="2:2" x14ac:dyDescent="0.4">
      <c r="B70"/>
    </row>
    <row r="71" spans="2:2" x14ac:dyDescent="0.4">
      <c r="B7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6E44-C9B1-B44C-92BA-A34A15C43BB4}">
  <sheetPr>
    <tabColor theme="4"/>
  </sheetPr>
  <dimension ref="B1:AC180"/>
  <sheetViews>
    <sheetView showGridLines="0" zoomScale="90" zoomScaleNormal="90" workbookViewId="0">
      <pane ySplit="5" topLeftCell="A6" activePane="bottomLeft" state="frozen"/>
      <selection activeCell="N1" sqref="N1"/>
      <selection pane="bottomLeft" activeCell="A35" sqref="A35"/>
    </sheetView>
  </sheetViews>
  <sheetFormatPr defaultColWidth="10.5" defaultRowHeight="15.75" customHeight="1" x14ac:dyDescent="0.4"/>
  <cols>
    <col min="1" max="1" width="3.5" style="1" customWidth="1"/>
    <col min="2" max="2" width="6.08203125" style="1" customWidth="1"/>
    <col min="3" max="4" width="18.5" style="1" customWidth="1"/>
    <col min="5" max="7" width="30.5" style="2" customWidth="1"/>
    <col min="8" max="12" width="18" style="2" customWidth="1"/>
    <col min="13" max="13" width="50.83203125" style="2" bestFit="1" customWidth="1"/>
    <col min="14" max="14" width="31" style="2" customWidth="1"/>
    <col min="15" max="15" width="32.58203125" style="2" customWidth="1"/>
    <col min="16" max="16" width="31.58203125" style="2" customWidth="1"/>
    <col min="17" max="17" width="26.58203125" style="2" customWidth="1"/>
    <col min="18" max="18" width="20.5" style="2" customWidth="1"/>
    <col min="19" max="19" width="59.83203125" style="1" customWidth="1"/>
    <col min="20" max="20" width="41" style="3" customWidth="1"/>
    <col min="21" max="21" width="32.5" style="3" customWidth="1"/>
    <col min="22" max="22" width="26.5" style="1" customWidth="1"/>
    <col min="23" max="23" width="19" style="1" customWidth="1"/>
    <col min="24" max="24" width="25" style="1" customWidth="1"/>
    <col min="25" max="26" width="23.33203125" style="1" customWidth="1"/>
    <col min="27" max="27" width="23" style="1" customWidth="1"/>
    <col min="28" max="28" width="24" style="1" bestFit="1" customWidth="1"/>
    <col min="29" max="29" width="27" style="1" bestFit="1" customWidth="1"/>
    <col min="30" max="16384" width="10.5" style="1"/>
  </cols>
  <sheetData>
    <row r="1" spans="2:29" ht="16" x14ac:dyDescent="0.4">
      <c r="E1" s="1"/>
      <c r="F1" s="1"/>
      <c r="G1" s="1"/>
      <c r="H1" s="1"/>
      <c r="I1" s="1"/>
      <c r="J1" s="1"/>
      <c r="K1" s="1"/>
      <c r="L1" s="1"/>
      <c r="M1" s="1"/>
      <c r="N1" s="1"/>
      <c r="O1" s="1"/>
      <c r="P1" s="1"/>
      <c r="Q1" s="1"/>
      <c r="R1" s="1"/>
      <c r="T1" s="1"/>
      <c r="U1" s="1"/>
    </row>
    <row r="2" spans="2:29" ht="26.25" customHeight="1" x14ac:dyDescent="0.4">
      <c r="E2" s="269" t="s">
        <v>600</v>
      </c>
      <c r="F2" s="269"/>
      <c r="G2" s="269"/>
      <c r="H2" s="269"/>
      <c r="I2" s="269"/>
      <c r="J2" s="269"/>
      <c r="K2" s="269"/>
      <c r="L2" s="269"/>
      <c r="M2" s="269"/>
      <c r="N2" s="269"/>
      <c r="O2" s="269"/>
      <c r="P2" s="269"/>
      <c r="Q2" s="269"/>
      <c r="R2" s="269"/>
      <c r="S2" s="269"/>
      <c r="T2" s="269"/>
      <c r="U2" s="269"/>
      <c r="V2" s="269"/>
    </row>
    <row r="3" spans="2:29" ht="16" customHeight="1" x14ac:dyDescent="0.4">
      <c r="E3" s="269"/>
      <c r="F3" s="269"/>
      <c r="G3" s="269"/>
      <c r="H3" s="269"/>
      <c r="I3" s="269"/>
      <c r="J3" s="269"/>
      <c r="K3" s="269"/>
      <c r="L3" s="269"/>
      <c r="M3" s="269"/>
      <c r="N3" s="269"/>
      <c r="O3" s="269"/>
      <c r="P3" s="269"/>
      <c r="Q3" s="269"/>
      <c r="R3" s="269"/>
      <c r="S3" s="269"/>
      <c r="T3" s="269"/>
      <c r="U3" s="269"/>
      <c r="V3" s="269"/>
    </row>
    <row r="4" spans="2:29" ht="16" x14ac:dyDescent="0.4">
      <c r="E4" s="1"/>
      <c r="F4" s="1"/>
      <c r="G4" s="1"/>
      <c r="H4" s="1"/>
      <c r="I4" s="1"/>
      <c r="J4" s="1"/>
      <c r="K4" s="1"/>
      <c r="L4" s="1"/>
      <c r="M4" s="1"/>
      <c r="N4" s="1"/>
      <c r="O4" s="1"/>
      <c r="P4" s="1"/>
      <c r="Q4" s="1"/>
      <c r="R4" s="1"/>
      <c r="T4" s="1"/>
      <c r="U4" s="1"/>
    </row>
    <row r="5" spans="2:29" ht="18.5" x14ac:dyDescent="0.45">
      <c r="B5" s="32" t="s">
        <v>601</v>
      </c>
      <c r="C5" s="32" t="s">
        <v>602</v>
      </c>
      <c r="D5" s="32" t="s">
        <v>603</v>
      </c>
      <c r="E5" s="51" t="s">
        <v>5</v>
      </c>
      <c r="F5" s="32" t="s">
        <v>9</v>
      </c>
      <c r="G5" s="32" t="s">
        <v>498</v>
      </c>
      <c r="H5" s="32" t="s">
        <v>11</v>
      </c>
      <c r="I5" s="32" t="s">
        <v>604</v>
      </c>
      <c r="J5" s="32" t="s">
        <v>605</v>
      </c>
      <c r="K5" s="32" t="s">
        <v>606</v>
      </c>
      <c r="L5" s="32" t="s">
        <v>607</v>
      </c>
      <c r="M5" s="32" t="s">
        <v>19</v>
      </c>
      <c r="N5" s="32" t="s">
        <v>608</v>
      </c>
      <c r="O5" s="32" t="s">
        <v>609</v>
      </c>
      <c r="P5" s="32" t="s">
        <v>610</v>
      </c>
      <c r="Q5" s="32" t="s">
        <v>28</v>
      </c>
      <c r="R5" s="32" t="s">
        <v>31</v>
      </c>
      <c r="S5" s="32" t="s">
        <v>35</v>
      </c>
      <c r="T5" s="32" t="s">
        <v>37</v>
      </c>
      <c r="U5" s="32" t="s">
        <v>611</v>
      </c>
      <c r="V5" s="42" t="s">
        <v>612</v>
      </c>
      <c r="W5" s="42" t="s">
        <v>41</v>
      </c>
      <c r="X5" s="42" t="s">
        <v>44</v>
      </c>
      <c r="Y5" s="42" t="s">
        <v>46</v>
      </c>
      <c r="Z5" s="42" t="s">
        <v>613</v>
      </c>
      <c r="AA5" s="43" t="s">
        <v>614</v>
      </c>
      <c r="AB5" s="43" t="s">
        <v>615</v>
      </c>
      <c r="AC5" s="43" t="s">
        <v>616</v>
      </c>
    </row>
    <row r="6" spans="2:29" ht="18.649999999999999" customHeight="1" x14ac:dyDescent="0.4">
      <c r="B6" s="55">
        <f>ROW() - ROW(Table1[[#Headers],[ID]])</f>
        <v>1</v>
      </c>
      <c r="C6" s="105"/>
      <c r="D6" s="105"/>
      <c r="E6" s="6" t="s">
        <v>577</v>
      </c>
      <c r="F6" s="52" t="s">
        <v>582</v>
      </c>
      <c r="G6" s="6" t="s">
        <v>617</v>
      </c>
      <c r="H6" s="26">
        <v>1</v>
      </c>
      <c r="I6" s="26">
        <v>1</v>
      </c>
      <c r="J6" s="26"/>
      <c r="K6" s="26"/>
      <c r="L6" s="26"/>
      <c r="M6" s="5" t="s">
        <v>263</v>
      </c>
      <c r="N6" s="30">
        <v>46146</v>
      </c>
      <c r="O6" s="30"/>
      <c r="P6" s="30"/>
      <c r="Q6" s="50"/>
      <c r="R6" s="5" t="s">
        <v>618</v>
      </c>
      <c r="S6" s="28"/>
      <c r="T6" s="4"/>
      <c r="U6" s="48"/>
      <c r="V6" s="29"/>
      <c r="W6" s="44"/>
      <c r="X6" s="45"/>
      <c r="Y6" s="40"/>
      <c r="Z6" s="40"/>
      <c r="AA6" s="41"/>
      <c r="AB6" s="45"/>
      <c r="AC6" s="45"/>
    </row>
    <row r="7" spans="2:29" ht="16" x14ac:dyDescent="0.4">
      <c r="B7" s="55">
        <f>ROW() - ROW(Table1[[#Headers],[ID]])</f>
        <v>2</v>
      </c>
      <c r="C7" s="105"/>
      <c r="D7" s="105"/>
      <c r="E7" s="6" t="s">
        <v>572</v>
      </c>
      <c r="F7" s="52" t="s">
        <v>580</v>
      </c>
      <c r="G7" s="6" t="s">
        <v>617</v>
      </c>
      <c r="H7" s="26">
        <v>1</v>
      </c>
      <c r="I7" s="26">
        <v>1</v>
      </c>
      <c r="J7" s="26"/>
      <c r="K7" s="26"/>
      <c r="L7" s="26"/>
      <c r="M7" s="5" t="s">
        <v>263</v>
      </c>
      <c r="N7" s="30">
        <v>46146</v>
      </c>
      <c r="O7" s="30"/>
      <c r="P7" s="30"/>
      <c r="Q7" s="50"/>
      <c r="R7" s="5" t="s">
        <v>618</v>
      </c>
      <c r="S7" s="28"/>
      <c r="T7" s="4"/>
      <c r="U7" s="48"/>
      <c r="V7" s="29"/>
      <c r="W7" s="44"/>
      <c r="X7" s="45"/>
      <c r="Y7" s="40"/>
      <c r="Z7" s="40"/>
      <c r="AA7" s="41"/>
      <c r="AB7" s="45"/>
      <c r="AC7" s="45"/>
    </row>
    <row r="8" spans="2:29" ht="16" x14ac:dyDescent="0.4">
      <c r="B8" s="55">
        <f>ROW() - ROW(Table1[[#Headers],[ID]])</f>
        <v>3</v>
      </c>
      <c r="C8" s="105"/>
      <c r="D8" s="105"/>
      <c r="E8" s="6" t="s">
        <v>75</v>
      </c>
      <c r="F8" s="52" t="s">
        <v>580</v>
      </c>
      <c r="G8" s="6" t="s">
        <v>617</v>
      </c>
      <c r="H8" s="26">
        <v>1</v>
      </c>
      <c r="I8" s="26">
        <v>1</v>
      </c>
      <c r="J8" s="26"/>
      <c r="K8" s="26"/>
      <c r="L8" s="26"/>
      <c r="M8" s="5" t="s">
        <v>263</v>
      </c>
      <c r="N8" s="30">
        <v>46146</v>
      </c>
      <c r="O8" s="30"/>
      <c r="P8" s="30"/>
      <c r="Q8" s="50"/>
      <c r="R8" s="5" t="s">
        <v>618</v>
      </c>
      <c r="S8" s="28"/>
      <c r="T8" s="4"/>
      <c r="U8" s="48"/>
      <c r="V8" s="29"/>
      <c r="W8" s="44"/>
      <c r="X8" s="45"/>
      <c r="Y8" s="40"/>
      <c r="Z8" s="40"/>
      <c r="AA8" s="41"/>
      <c r="AB8" s="45"/>
      <c r="AC8" s="45"/>
    </row>
    <row r="9" spans="2:29" ht="16" x14ac:dyDescent="0.4">
      <c r="B9" s="55">
        <f>ROW() - ROW(Table1[[#Headers],[ID]])</f>
        <v>4</v>
      </c>
      <c r="C9" s="105"/>
      <c r="D9" s="105"/>
      <c r="E9" s="6" t="s">
        <v>573</v>
      </c>
      <c r="F9" s="52" t="s">
        <v>594</v>
      </c>
      <c r="G9" s="6" t="s">
        <v>617</v>
      </c>
      <c r="H9" s="26">
        <v>1</v>
      </c>
      <c r="I9" s="26">
        <v>1</v>
      </c>
      <c r="J9" s="26"/>
      <c r="K9" s="26"/>
      <c r="L9" s="26"/>
      <c r="M9" s="5" t="s">
        <v>263</v>
      </c>
      <c r="N9" s="30">
        <v>46146</v>
      </c>
      <c r="O9" s="30"/>
      <c r="P9" s="30"/>
      <c r="Q9" s="50"/>
      <c r="R9" s="5" t="s">
        <v>618</v>
      </c>
      <c r="S9" s="28"/>
      <c r="T9" s="4"/>
      <c r="U9" s="48"/>
      <c r="V9" s="29"/>
      <c r="W9" s="44"/>
      <c r="X9" s="45"/>
      <c r="Y9" s="40"/>
      <c r="Z9" s="40"/>
      <c r="AA9" s="41"/>
      <c r="AB9" s="45"/>
      <c r="AC9" s="45"/>
    </row>
    <row r="10" spans="2:29" ht="16" x14ac:dyDescent="0.4">
      <c r="B10" s="55">
        <f>ROW() - ROW(Table1[[#Headers],[ID]])</f>
        <v>5</v>
      </c>
      <c r="C10" s="105"/>
      <c r="D10" s="105"/>
      <c r="E10" s="6" t="s">
        <v>573</v>
      </c>
      <c r="F10" s="52" t="s">
        <v>592</v>
      </c>
      <c r="G10" s="6" t="s">
        <v>617</v>
      </c>
      <c r="H10" s="26">
        <v>1</v>
      </c>
      <c r="I10" s="26">
        <v>1</v>
      </c>
      <c r="J10" s="26"/>
      <c r="K10" s="26"/>
      <c r="L10" s="26"/>
      <c r="M10" s="5" t="s">
        <v>263</v>
      </c>
      <c r="N10" s="30">
        <v>46146</v>
      </c>
      <c r="O10" s="30"/>
      <c r="P10" s="30"/>
      <c r="Q10" s="50"/>
      <c r="R10" s="5" t="s">
        <v>618</v>
      </c>
      <c r="S10" s="28"/>
      <c r="T10" s="4"/>
      <c r="U10" s="48"/>
      <c r="V10" s="29"/>
      <c r="W10" s="44"/>
      <c r="X10" s="45"/>
      <c r="Y10" s="40"/>
      <c r="Z10" s="40"/>
      <c r="AA10" s="41"/>
      <c r="AB10" s="45"/>
      <c r="AC10" s="45"/>
    </row>
    <row r="11" spans="2:29" ht="18.649999999999999" customHeight="1" x14ac:dyDescent="0.4">
      <c r="B11" s="55">
        <f>ROW() - ROW(Table1[[#Headers],[ID]])</f>
        <v>6</v>
      </c>
      <c r="C11" s="105"/>
      <c r="D11" s="105"/>
      <c r="E11" s="6" t="s">
        <v>573</v>
      </c>
      <c r="F11" s="52" t="s">
        <v>588</v>
      </c>
      <c r="G11" s="6" t="s">
        <v>617</v>
      </c>
      <c r="H11" s="26">
        <v>1</v>
      </c>
      <c r="I11" s="26">
        <v>1</v>
      </c>
      <c r="J11" s="26"/>
      <c r="K11" s="26"/>
      <c r="L11" s="26"/>
      <c r="M11" s="5" t="s">
        <v>263</v>
      </c>
      <c r="N11" s="30">
        <v>46146</v>
      </c>
      <c r="O11" s="30"/>
      <c r="P11" s="30"/>
      <c r="Q11" s="50"/>
      <c r="R11" s="5" t="s">
        <v>618</v>
      </c>
      <c r="S11" s="28"/>
      <c r="T11" s="4"/>
      <c r="U11" s="48"/>
      <c r="V11" s="29"/>
      <c r="W11" s="44"/>
      <c r="X11" s="45"/>
      <c r="Y11" s="40"/>
      <c r="Z11" s="40"/>
      <c r="AA11" s="41"/>
      <c r="AB11" s="45"/>
      <c r="AC11" s="45"/>
    </row>
    <row r="12" spans="2:29" ht="18.649999999999999" customHeight="1" x14ac:dyDescent="0.4">
      <c r="B12" s="55">
        <f>ROW() - ROW(Table1[[#Headers],[ID]])</f>
        <v>7</v>
      </c>
      <c r="C12" s="105"/>
      <c r="D12" s="105"/>
      <c r="E12" s="6" t="s">
        <v>574</v>
      </c>
      <c r="F12" s="52" t="s">
        <v>588</v>
      </c>
      <c r="G12" s="67" t="s">
        <v>617</v>
      </c>
      <c r="H12" s="73">
        <v>2</v>
      </c>
      <c r="I12" s="26">
        <f>Table1[[#This Row],['# RESOURCES]]-Table1[[#This Row],[Profile Shared]]</f>
        <v>2</v>
      </c>
      <c r="J12" s="26"/>
      <c r="K12" s="26"/>
      <c r="L12" s="26"/>
      <c r="M12" s="5" t="s">
        <v>263</v>
      </c>
      <c r="N12" s="30"/>
      <c r="O12" s="30"/>
      <c r="P12" s="30"/>
      <c r="Q12" s="27"/>
      <c r="R12" s="5" t="s">
        <v>618</v>
      </c>
      <c r="S12" s="28"/>
      <c r="T12" s="4"/>
      <c r="U12" s="48"/>
      <c r="V12" s="74" t="str">
        <f>IF(COUNTA($E12:$U12)=16,"✓ Complete",IF(COUNTA( $E12:$U12)=1,"","⚠ Incomplete - Missing Entries"))</f>
        <v>⚠ Incomplete - Missing Entries</v>
      </c>
      <c r="W12" s="44"/>
      <c r="X12" s="45"/>
      <c r="Y12" s="40"/>
      <c r="Z12" s="40"/>
      <c r="AA12" s="41">
        <f>IF(Table1[[#This Row],[On Hold?]]="Y", (Table1[[#This Row],['# RESOURCES]]-Table1[[#This Row],[Profile Shared]]),0)</f>
        <v>0</v>
      </c>
      <c r="AB12" s="45"/>
      <c r="AC12" s="45"/>
    </row>
    <row r="13" spans="2:29" ht="18.649999999999999" customHeight="1" x14ac:dyDescent="0.4">
      <c r="B13" s="55">
        <f>ROW() - ROW(Table1[[#Headers],[ID]])</f>
        <v>8</v>
      </c>
      <c r="C13" s="105"/>
      <c r="D13" s="105"/>
      <c r="E13" s="6" t="s">
        <v>574</v>
      </c>
      <c r="F13" s="52" t="s">
        <v>592</v>
      </c>
      <c r="G13" s="67" t="s">
        <v>617</v>
      </c>
      <c r="H13" s="73">
        <v>1</v>
      </c>
      <c r="I13" s="26">
        <f>Table1[[#This Row],['# RESOURCES]]-Table1[[#This Row],[Profile Shared]]</f>
        <v>1</v>
      </c>
      <c r="J13" s="26"/>
      <c r="K13" s="26"/>
      <c r="L13" s="26"/>
      <c r="M13" s="5" t="s">
        <v>263</v>
      </c>
      <c r="N13" s="30"/>
      <c r="O13" s="30"/>
      <c r="P13" s="30"/>
      <c r="Q13" s="27"/>
      <c r="R13" s="5" t="s">
        <v>618</v>
      </c>
      <c r="S13" s="28"/>
      <c r="T13" s="4"/>
      <c r="U13" s="48"/>
      <c r="V13" s="74" t="str">
        <f>IF(COUNTA($E13:$U13)=16,"✓ Complete",IF(COUNTA( $E13:$U13)=1,"","⚠ Incomplete - Missing Entries"))</f>
        <v>⚠ Incomplete - Missing Entries</v>
      </c>
      <c r="W13" s="44"/>
      <c r="X13" s="45"/>
      <c r="Y13" s="40"/>
      <c r="Z13" s="40"/>
      <c r="AA13" s="41">
        <f>IF(Table1[[#This Row],[On Hold?]]="Y", (Table1[[#This Row],['# RESOURCES]]-Table1[[#This Row],[Profile Shared]]),0)</f>
        <v>0</v>
      </c>
      <c r="AB13" s="45"/>
      <c r="AC13" s="45"/>
    </row>
    <row r="14" spans="2:29" ht="16" x14ac:dyDescent="0.4">
      <c r="B14" s="55">
        <f>ROW() - ROW(Table1[[#Headers],[ID]])</f>
        <v>9</v>
      </c>
      <c r="C14" s="105"/>
      <c r="D14" s="105"/>
      <c r="E14" s="6" t="s">
        <v>575</v>
      </c>
      <c r="F14" s="52" t="s">
        <v>585</v>
      </c>
      <c r="G14" s="6" t="s">
        <v>617</v>
      </c>
      <c r="H14" s="26">
        <v>1</v>
      </c>
      <c r="I14" s="26">
        <v>1</v>
      </c>
      <c r="J14" s="26"/>
      <c r="K14" s="26"/>
      <c r="L14" s="26"/>
      <c r="M14" s="5" t="s">
        <v>263</v>
      </c>
      <c r="N14" s="30">
        <v>46146</v>
      </c>
      <c r="O14" s="30"/>
      <c r="P14" s="30"/>
      <c r="Q14" s="50"/>
      <c r="R14" s="5" t="s">
        <v>618</v>
      </c>
      <c r="S14" s="28"/>
      <c r="T14" s="4"/>
      <c r="U14" s="48"/>
      <c r="V14" s="29"/>
      <c r="W14" s="44"/>
      <c r="X14" s="45"/>
      <c r="Y14" s="40"/>
      <c r="Z14" s="40"/>
      <c r="AA14" s="41"/>
      <c r="AB14" s="49"/>
      <c r="AC14" s="45"/>
    </row>
    <row r="15" spans="2:29" ht="16" x14ac:dyDescent="0.4">
      <c r="B15" s="55">
        <f>ROW() - ROW(Table1[[#Headers],[ID]])</f>
        <v>10</v>
      </c>
      <c r="C15" s="105"/>
      <c r="D15" s="105"/>
      <c r="E15" s="6" t="s">
        <v>575</v>
      </c>
      <c r="F15" s="52" t="s">
        <v>592</v>
      </c>
      <c r="G15" s="6" t="s">
        <v>617</v>
      </c>
      <c r="H15" s="26">
        <v>1</v>
      </c>
      <c r="I15" s="26">
        <v>1</v>
      </c>
      <c r="J15" s="26"/>
      <c r="K15" s="26"/>
      <c r="L15" s="26"/>
      <c r="M15" s="5" t="s">
        <v>263</v>
      </c>
      <c r="N15" s="30">
        <v>46146</v>
      </c>
      <c r="O15" s="30"/>
      <c r="P15" s="30"/>
      <c r="Q15" s="50"/>
      <c r="R15" s="5" t="s">
        <v>618</v>
      </c>
      <c r="S15" s="28"/>
      <c r="T15" s="4"/>
      <c r="U15" s="48"/>
      <c r="V15" s="29"/>
      <c r="W15" s="44"/>
      <c r="X15" s="45"/>
      <c r="Y15" s="40"/>
      <c r="Z15" s="40"/>
      <c r="AA15" s="41"/>
      <c r="AB15" s="45"/>
      <c r="AC15" s="45"/>
    </row>
    <row r="16" spans="2:29" ht="16" x14ac:dyDescent="0.4">
      <c r="B16" s="55">
        <f>ROW() - ROW(Table1[[#Headers],[ID]])</f>
        <v>11</v>
      </c>
      <c r="C16" s="105"/>
      <c r="D16" s="105"/>
      <c r="E16" s="6" t="s">
        <v>577</v>
      </c>
      <c r="F16" s="52" t="s">
        <v>582</v>
      </c>
      <c r="G16" s="6" t="s">
        <v>619</v>
      </c>
      <c r="H16" s="26">
        <v>1</v>
      </c>
      <c r="I16" s="26">
        <v>1</v>
      </c>
      <c r="J16" s="26"/>
      <c r="K16" s="26"/>
      <c r="L16" s="26"/>
      <c r="M16" s="5" t="s">
        <v>263</v>
      </c>
      <c r="N16" s="30">
        <v>46146</v>
      </c>
      <c r="O16" s="30"/>
      <c r="P16" s="30"/>
      <c r="Q16" s="50"/>
      <c r="R16" s="5" t="s">
        <v>618</v>
      </c>
      <c r="S16" s="28"/>
      <c r="T16" s="4"/>
      <c r="U16" s="48"/>
      <c r="V16" s="29"/>
      <c r="W16" s="44"/>
      <c r="X16" s="45"/>
      <c r="Y16" s="40"/>
      <c r="Z16" s="40"/>
      <c r="AA16" s="41"/>
      <c r="AB16" s="45"/>
      <c r="AC16" s="45"/>
    </row>
    <row r="17" spans="2:29" ht="16" x14ac:dyDescent="0.4">
      <c r="B17" s="55">
        <f>ROW() - ROW(Table1[[#Headers],[ID]])</f>
        <v>12</v>
      </c>
      <c r="C17" s="105"/>
      <c r="D17" s="105"/>
      <c r="E17" s="6" t="s">
        <v>572</v>
      </c>
      <c r="F17" s="52" t="s">
        <v>580</v>
      </c>
      <c r="G17" s="6" t="s">
        <v>619</v>
      </c>
      <c r="H17" s="26">
        <v>1</v>
      </c>
      <c r="I17" s="26">
        <v>1</v>
      </c>
      <c r="J17" s="26"/>
      <c r="K17" s="26"/>
      <c r="L17" s="26"/>
      <c r="M17" s="5" t="s">
        <v>263</v>
      </c>
      <c r="N17" s="30">
        <v>46146</v>
      </c>
      <c r="O17" s="30"/>
      <c r="P17" s="30"/>
      <c r="Q17" s="50"/>
      <c r="R17" s="5" t="s">
        <v>618</v>
      </c>
      <c r="S17" s="28"/>
      <c r="T17" s="4"/>
      <c r="U17" s="48"/>
      <c r="V17" s="29"/>
      <c r="W17" s="44"/>
      <c r="X17" s="45"/>
      <c r="Y17" s="40"/>
      <c r="Z17" s="40"/>
      <c r="AA17" s="41"/>
      <c r="AB17" s="45"/>
      <c r="AC17" s="45"/>
    </row>
    <row r="18" spans="2:29" ht="16" x14ac:dyDescent="0.4">
      <c r="B18" s="55">
        <f>ROW() - ROW(Table1[[#Headers],[ID]])</f>
        <v>13</v>
      </c>
      <c r="C18" s="105"/>
      <c r="D18" s="105"/>
      <c r="E18" s="6" t="s">
        <v>75</v>
      </c>
      <c r="F18" s="52" t="s">
        <v>580</v>
      </c>
      <c r="G18" s="6" t="s">
        <v>619</v>
      </c>
      <c r="H18" s="26">
        <v>1</v>
      </c>
      <c r="I18" s="26">
        <v>1</v>
      </c>
      <c r="J18" s="26"/>
      <c r="K18" s="26"/>
      <c r="L18" s="26"/>
      <c r="M18" s="5" t="s">
        <v>263</v>
      </c>
      <c r="N18" s="30">
        <v>46146</v>
      </c>
      <c r="O18" s="30"/>
      <c r="P18" s="26"/>
      <c r="Q18" s="50"/>
      <c r="R18" s="5" t="s">
        <v>618</v>
      </c>
      <c r="S18" s="28"/>
      <c r="T18" s="4"/>
      <c r="U18" s="48"/>
      <c r="V18" s="29"/>
      <c r="W18" s="44"/>
      <c r="X18" s="45"/>
      <c r="Y18" s="40"/>
      <c r="Z18" s="40"/>
      <c r="AA18" s="41"/>
      <c r="AB18" s="45"/>
      <c r="AC18" s="45"/>
    </row>
    <row r="19" spans="2:29" ht="18.5" x14ac:dyDescent="0.4">
      <c r="B19" s="55">
        <f>ROW() - ROW(Table1[[#Headers],[ID]])</f>
        <v>14</v>
      </c>
      <c r="C19" s="105"/>
      <c r="D19" s="105"/>
      <c r="E19" s="6" t="s">
        <v>573</v>
      </c>
      <c r="F19" s="52" t="s">
        <v>594</v>
      </c>
      <c r="G19" s="6" t="s">
        <v>619</v>
      </c>
      <c r="H19" s="73">
        <v>1</v>
      </c>
      <c r="I19" s="73">
        <v>1</v>
      </c>
      <c r="J19" s="26"/>
      <c r="K19" s="26"/>
      <c r="L19" s="26"/>
      <c r="M19" s="5" t="s">
        <v>263</v>
      </c>
      <c r="N19" s="30">
        <v>46146</v>
      </c>
      <c r="O19" s="30"/>
      <c r="P19" s="26"/>
      <c r="Q19" s="27"/>
      <c r="R19" s="5" t="s">
        <v>618</v>
      </c>
      <c r="S19" s="28"/>
      <c r="T19" s="4"/>
      <c r="U19" s="48"/>
      <c r="V19" s="74"/>
      <c r="W19" s="44"/>
      <c r="X19" s="45"/>
      <c r="Y19" s="40"/>
      <c r="Z19" s="40"/>
      <c r="AA19" s="41"/>
      <c r="AB19" s="45"/>
      <c r="AC19" s="45"/>
    </row>
    <row r="20" spans="2:29" ht="16" x14ac:dyDescent="0.4">
      <c r="B20" s="55">
        <f>ROW() - ROW(Table1[[#Headers],[ID]])</f>
        <v>15</v>
      </c>
      <c r="C20" s="105"/>
      <c r="D20" s="105"/>
      <c r="E20" s="6" t="s">
        <v>576</v>
      </c>
      <c r="F20" s="52" t="s">
        <v>588</v>
      </c>
      <c r="G20" s="6" t="s">
        <v>619</v>
      </c>
      <c r="H20" s="26">
        <v>2</v>
      </c>
      <c r="I20" s="26">
        <v>2</v>
      </c>
      <c r="J20" s="26"/>
      <c r="K20" s="26"/>
      <c r="L20" s="26"/>
      <c r="M20" s="5" t="s">
        <v>263</v>
      </c>
      <c r="N20" s="30">
        <v>46146</v>
      </c>
      <c r="O20" s="30"/>
      <c r="P20" s="30"/>
      <c r="Q20" s="50"/>
      <c r="R20" s="5" t="s">
        <v>618</v>
      </c>
      <c r="S20" s="28"/>
      <c r="T20" s="4"/>
      <c r="U20" s="48"/>
      <c r="V20" s="29"/>
      <c r="W20" s="44"/>
      <c r="X20" s="45"/>
      <c r="Y20" s="40"/>
      <c r="Z20" s="40"/>
      <c r="AA20" s="41"/>
      <c r="AB20" s="45"/>
      <c r="AC20" s="45"/>
    </row>
    <row r="21" spans="2:29" ht="16" x14ac:dyDescent="0.4">
      <c r="B21" s="55">
        <f>ROW() - ROW(Table1[[#Headers],[ID]])</f>
        <v>16</v>
      </c>
      <c r="C21" s="105"/>
      <c r="D21" s="105"/>
      <c r="E21" s="6" t="s">
        <v>576</v>
      </c>
      <c r="F21" s="52" t="s">
        <v>592</v>
      </c>
      <c r="G21" s="6" t="s">
        <v>619</v>
      </c>
      <c r="H21" s="26">
        <v>2</v>
      </c>
      <c r="I21" s="26">
        <v>2</v>
      </c>
      <c r="J21" s="26"/>
      <c r="K21" s="26"/>
      <c r="L21" s="26"/>
      <c r="M21" s="5" t="s">
        <v>263</v>
      </c>
      <c r="N21" s="30">
        <v>46146</v>
      </c>
      <c r="O21" s="30"/>
      <c r="P21" s="30"/>
      <c r="Q21" s="50"/>
      <c r="R21" s="5" t="s">
        <v>618</v>
      </c>
      <c r="S21" s="47"/>
      <c r="T21" s="4"/>
      <c r="U21" s="48"/>
      <c r="V21" s="29"/>
      <c r="W21" s="44"/>
      <c r="X21" s="45"/>
      <c r="Y21" s="40"/>
      <c r="Z21" s="40"/>
      <c r="AA21" s="41"/>
      <c r="AB21" s="45"/>
      <c r="AC21" s="45"/>
    </row>
    <row r="22" spans="2:29" ht="16" x14ac:dyDescent="0.4">
      <c r="B22" s="55">
        <f>ROW() - ROW(Table1[[#Headers],[ID]])</f>
        <v>17</v>
      </c>
      <c r="C22" s="105"/>
      <c r="D22" s="105"/>
      <c r="E22" s="6" t="s">
        <v>574</v>
      </c>
      <c r="F22" s="52" t="s">
        <v>588</v>
      </c>
      <c r="G22" s="6" t="s">
        <v>619</v>
      </c>
      <c r="H22" s="26">
        <v>1</v>
      </c>
      <c r="I22" s="26">
        <v>1</v>
      </c>
      <c r="J22" s="26"/>
      <c r="K22" s="26"/>
      <c r="L22" s="26"/>
      <c r="M22" s="5" t="s">
        <v>263</v>
      </c>
      <c r="N22" s="30">
        <v>46146</v>
      </c>
      <c r="O22" s="30"/>
      <c r="P22" s="30"/>
      <c r="Q22" s="50"/>
      <c r="R22" s="5" t="s">
        <v>618</v>
      </c>
      <c r="S22" s="47"/>
      <c r="T22" s="4"/>
      <c r="U22" s="48"/>
      <c r="V22" s="29"/>
      <c r="W22" s="44"/>
      <c r="X22" s="45"/>
      <c r="Y22" s="40"/>
      <c r="Z22" s="40"/>
      <c r="AA22" s="41"/>
      <c r="AB22" s="45"/>
      <c r="AC22" s="45"/>
    </row>
    <row r="23" spans="2:29" ht="16" x14ac:dyDescent="0.4">
      <c r="B23" s="55">
        <f>ROW() - ROW(Table1[[#Headers],[ID]])</f>
        <v>18</v>
      </c>
      <c r="C23" s="105"/>
      <c r="D23" s="105"/>
      <c r="E23" s="6" t="s">
        <v>574</v>
      </c>
      <c r="F23" s="52" t="s">
        <v>592</v>
      </c>
      <c r="G23" s="6" t="s">
        <v>619</v>
      </c>
      <c r="H23" s="26">
        <v>1</v>
      </c>
      <c r="I23" s="26">
        <v>1</v>
      </c>
      <c r="J23" s="26"/>
      <c r="K23" s="26"/>
      <c r="L23" s="26"/>
      <c r="M23" s="5" t="s">
        <v>263</v>
      </c>
      <c r="N23" s="30">
        <v>46146</v>
      </c>
      <c r="O23" s="30"/>
      <c r="P23" s="30"/>
      <c r="Q23" s="50"/>
      <c r="R23" s="5" t="s">
        <v>618</v>
      </c>
      <c r="S23" s="47"/>
      <c r="T23" s="4"/>
      <c r="U23" s="48"/>
      <c r="V23" s="29"/>
      <c r="W23" s="44"/>
      <c r="X23" s="45"/>
      <c r="Y23" s="40"/>
      <c r="Z23" s="40"/>
      <c r="AA23" s="41"/>
      <c r="AB23" s="45"/>
      <c r="AC23" s="45"/>
    </row>
    <row r="24" spans="2:29" ht="16" x14ac:dyDescent="0.4">
      <c r="B24" s="55">
        <f>ROW() - ROW(Table1[[#Headers],[ID]])</f>
        <v>19</v>
      </c>
      <c r="C24" s="105"/>
      <c r="D24" s="105"/>
      <c r="E24" s="6" t="s">
        <v>575</v>
      </c>
      <c r="F24" s="52" t="s">
        <v>592</v>
      </c>
      <c r="G24" s="6" t="s">
        <v>619</v>
      </c>
      <c r="H24" s="26">
        <v>1</v>
      </c>
      <c r="I24" s="26">
        <v>1</v>
      </c>
      <c r="J24" s="26"/>
      <c r="K24" s="26"/>
      <c r="L24" s="26"/>
      <c r="M24" s="5" t="s">
        <v>263</v>
      </c>
      <c r="N24" s="30">
        <v>46146</v>
      </c>
      <c r="O24" s="30"/>
      <c r="P24" s="30"/>
      <c r="Q24" s="50"/>
      <c r="R24" s="5" t="s">
        <v>618</v>
      </c>
      <c r="S24" s="28"/>
      <c r="T24" s="4"/>
      <c r="U24" s="48"/>
      <c r="V24" s="29"/>
      <c r="W24" s="44"/>
      <c r="X24" s="45"/>
      <c r="Y24" s="40"/>
      <c r="Z24" s="40"/>
      <c r="AA24" s="41"/>
      <c r="AB24" s="45"/>
      <c r="AC24" s="45"/>
    </row>
    <row r="25" spans="2:29" ht="16" x14ac:dyDescent="0.4">
      <c r="B25" s="55">
        <f>ROW() - ROW(Table1[[#Headers],[ID]])</f>
        <v>20</v>
      </c>
      <c r="C25" s="105"/>
      <c r="D25" s="105"/>
      <c r="E25" s="6" t="s">
        <v>575</v>
      </c>
      <c r="F25" s="52" t="s">
        <v>588</v>
      </c>
      <c r="G25" s="6" t="s">
        <v>619</v>
      </c>
      <c r="H25" s="26">
        <v>1</v>
      </c>
      <c r="I25" s="26">
        <v>1</v>
      </c>
      <c r="J25" s="26"/>
      <c r="K25" s="26"/>
      <c r="L25" s="26"/>
      <c r="M25" s="5" t="s">
        <v>263</v>
      </c>
      <c r="N25" s="30">
        <v>46146</v>
      </c>
      <c r="O25" s="30"/>
      <c r="P25" s="30"/>
      <c r="Q25" s="50"/>
      <c r="R25" s="5" t="s">
        <v>618</v>
      </c>
      <c r="S25" s="28"/>
      <c r="T25" s="4"/>
      <c r="U25" s="48"/>
      <c r="V25" s="29"/>
      <c r="W25" s="44"/>
      <c r="X25" s="45"/>
      <c r="Y25" s="40"/>
      <c r="Z25" s="40"/>
      <c r="AA25" s="41"/>
      <c r="AB25" s="45"/>
      <c r="AC25" s="45"/>
    </row>
    <row r="26" spans="2:29" ht="16" x14ac:dyDescent="0.4">
      <c r="B26" s="55">
        <f>ROW() - ROW(Table1[[#Headers],[ID]])</f>
        <v>21</v>
      </c>
      <c r="C26" s="105"/>
      <c r="D26" s="105"/>
      <c r="E26" s="6" t="s">
        <v>572</v>
      </c>
      <c r="F26" s="52" t="s">
        <v>580</v>
      </c>
      <c r="G26" s="6" t="s">
        <v>620</v>
      </c>
      <c r="H26" s="26">
        <v>1</v>
      </c>
      <c r="I26" s="26">
        <v>1</v>
      </c>
      <c r="J26" s="26"/>
      <c r="K26" s="26"/>
      <c r="L26" s="26"/>
      <c r="M26" s="5"/>
      <c r="N26" s="30">
        <v>46156</v>
      </c>
      <c r="O26" s="30"/>
      <c r="P26" s="30"/>
      <c r="Q26" s="50"/>
      <c r="R26" s="5" t="s">
        <v>618</v>
      </c>
      <c r="S26" s="28"/>
      <c r="T26" s="45"/>
      <c r="U26" s="48"/>
      <c r="V26" s="29"/>
      <c r="W26" s="44"/>
      <c r="X26" s="45"/>
      <c r="Y26" s="40"/>
      <c r="Z26" s="40"/>
      <c r="AA26" s="41"/>
      <c r="AB26" s="45"/>
      <c r="AC26" s="45"/>
    </row>
    <row r="27" spans="2:29" customFormat="1" ht="16" x14ac:dyDescent="0.4">
      <c r="B27" s="63">
        <f>ROW() - ROW(Table1[[#Headers],[ID]])</f>
        <v>22</v>
      </c>
      <c r="C27" s="105"/>
      <c r="D27" s="105"/>
      <c r="E27" s="6" t="s">
        <v>75</v>
      </c>
      <c r="F27" s="52" t="s">
        <v>580</v>
      </c>
      <c r="G27" s="6" t="s">
        <v>620</v>
      </c>
      <c r="H27" s="26">
        <v>1</v>
      </c>
      <c r="I27" s="26">
        <v>1</v>
      </c>
      <c r="J27" s="26"/>
      <c r="K27" s="26"/>
      <c r="L27" s="26"/>
      <c r="M27" s="68"/>
      <c r="N27" s="30">
        <v>46156</v>
      </c>
      <c r="O27" s="30"/>
      <c r="P27" s="30"/>
      <c r="Q27" s="30"/>
      <c r="R27" s="5" t="s">
        <v>618</v>
      </c>
      <c r="S27" s="26"/>
      <c r="T27" s="69"/>
      <c r="U27" s="26"/>
      <c r="V27" s="29"/>
      <c r="W27" s="70"/>
      <c r="X27" s="7"/>
      <c r="Y27" s="71"/>
      <c r="Z27" s="71"/>
      <c r="AA27" s="72"/>
      <c r="AB27" s="7"/>
      <c r="AC27" s="7"/>
    </row>
    <row r="28" spans="2:29" customFormat="1" ht="16" x14ac:dyDescent="0.4">
      <c r="B28" s="63">
        <f>ROW() - ROW(Table1[[#Headers],[ID]])</f>
        <v>23</v>
      </c>
      <c r="C28" s="105"/>
      <c r="D28" s="105"/>
      <c r="E28" s="6" t="s">
        <v>573</v>
      </c>
      <c r="F28" s="52" t="s">
        <v>594</v>
      </c>
      <c r="G28" s="6" t="s">
        <v>620</v>
      </c>
      <c r="H28" s="26">
        <v>1</v>
      </c>
      <c r="I28" s="26">
        <v>1</v>
      </c>
      <c r="J28" s="26"/>
      <c r="K28" s="26"/>
      <c r="L28" s="26"/>
      <c r="M28" s="5"/>
      <c r="N28" s="30">
        <v>46156</v>
      </c>
      <c r="O28" s="30"/>
      <c r="P28" s="30"/>
      <c r="Q28" s="30"/>
      <c r="R28" s="5" t="s">
        <v>618</v>
      </c>
      <c r="S28" s="26"/>
      <c r="T28" s="45"/>
      <c r="U28" s="26"/>
      <c r="V28" s="29"/>
      <c r="W28" s="45"/>
      <c r="X28" s="45"/>
      <c r="Y28" s="45"/>
      <c r="Z28" s="45"/>
      <c r="AA28" s="45"/>
      <c r="AB28" s="45"/>
      <c r="AC28" s="45"/>
    </row>
    <row r="29" spans="2:29" ht="16" x14ac:dyDescent="0.4">
      <c r="B29" s="55">
        <f>ROW() - ROW(Table1[[#Headers],[ID]])</f>
        <v>24</v>
      </c>
      <c r="C29" s="105"/>
      <c r="D29" s="105"/>
      <c r="E29" s="6" t="s">
        <v>573</v>
      </c>
      <c r="F29" s="52" t="s">
        <v>588</v>
      </c>
      <c r="G29" s="6" t="s">
        <v>620</v>
      </c>
      <c r="H29" s="26">
        <v>3</v>
      </c>
      <c r="I29" s="26">
        <v>3</v>
      </c>
      <c r="J29" s="26"/>
      <c r="K29" s="26"/>
      <c r="L29" s="26"/>
      <c r="M29" s="5"/>
      <c r="N29" s="30">
        <v>46156</v>
      </c>
      <c r="O29" s="30"/>
      <c r="P29" s="30"/>
      <c r="Q29" s="50"/>
      <c r="R29" s="5" t="s">
        <v>618</v>
      </c>
      <c r="S29" s="28"/>
      <c r="T29" s="4"/>
      <c r="U29" s="48"/>
      <c r="V29" s="29"/>
      <c r="W29" s="44"/>
      <c r="X29" s="45"/>
      <c r="Y29" s="40"/>
      <c r="Z29" s="45"/>
      <c r="AA29" s="41"/>
      <c r="AB29" s="45"/>
      <c r="AC29" s="45"/>
    </row>
    <row r="30" spans="2:29" ht="16" x14ac:dyDescent="0.4">
      <c r="B30" s="55">
        <f>ROW() - ROW(Table1[[#Headers],[ID]])</f>
        <v>25</v>
      </c>
      <c r="C30" s="105"/>
      <c r="D30" s="105"/>
      <c r="E30" s="6" t="s">
        <v>573</v>
      </c>
      <c r="F30" s="52" t="s">
        <v>592</v>
      </c>
      <c r="G30" s="6" t="s">
        <v>620</v>
      </c>
      <c r="H30" s="26">
        <v>2</v>
      </c>
      <c r="I30" s="26">
        <v>2</v>
      </c>
      <c r="J30" s="26"/>
      <c r="K30" s="26"/>
      <c r="L30" s="26"/>
      <c r="M30" s="5"/>
      <c r="N30" s="30">
        <v>46156</v>
      </c>
      <c r="O30" s="30"/>
      <c r="P30" s="30"/>
      <c r="Q30" s="50"/>
      <c r="R30" s="5" t="s">
        <v>618</v>
      </c>
      <c r="S30" s="28"/>
      <c r="T30" s="4"/>
      <c r="U30" s="48"/>
      <c r="V30" s="29"/>
      <c r="W30" s="44"/>
      <c r="X30" s="45"/>
      <c r="Y30" s="40"/>
      <c r="Z30" s="40"/>
      <c r="AA30" s="41"/>
      <c r="AB30" s="46"/>
      <c r="AC30" s="45"/>
    </row>
    <row r="31" spans="2:29" ht="16" x14ac:dyDescent="0.4">
      <c r="B31" s="55">
        <f>ROW() - ROW(Table1[[#Headers],[ID]])</f>
        <v>26</v>
      </c>
      <c r="C31" s="105"/>
      <c r="D31" s="105"/>
      <c r="E31" s="6" t="s">
        <v>574</v>
      </c>
      <c r="F31" s="52" t="s">
        <v>588</v>
      </c>
      <c r="G31" s="6" t="s">
        <v>620</v>
      </c>
      <c r="H31" s="26">
        <v>1</v>
      </c>
      <c r="I31" s="26">
        <v>1</v>
      </c>
      <c r="J31" s="26"/>
      <c r="K31" s="26"/>
      <c r="L31" s="26"/>
      <c r="M31" s="5"/>
      <c r="N31" s="30">
        <v>46156</v>
      </c>
      <c r="O31" s="30"/>
      <c r="P31" s="30"/>
      <c r="Q31" s="50"/>
      <c r="R31" s="5" t="s">
        <v>618</v>
      </c>
      <c r="S31" s="28"/>
      <c r="T31" s="4"/>
      <c r="U31" s="48"/>
      <c r="V31" s="29"/>
      <c r="W31" s="44"/>
      <c r="X31" s="45"/>
      <c r="Y31" s="40"/>
      <c r="Z31" s="40"/>
      <c r="AA31" s="41"/>
      <c r="AB31" s="45"/>
      <c r="AC31" s="45"/>
    </row>
    <row r="32" spans="2:29" ht="16" x14ac:dyDescent="0.4">
      <c r="B32" s="55">
        <f>ROW() - ROW(Table1[[#Headers],[ID]])</f>
        <v>27</v>
      </c>
      <c r="C32" s="105"/>
      <c r="D32" s="105"/>
      <c r="E32" s="6" t="s">
        <v>573</v>
      </c>
      <c r="F32" s="52" t="s">
        <v>588</v>
      </c>
      <c r="G32" s="6" t="s">
        <v>621</v>
      </c>
      <c r="H32" s="26">
        <v>3</v>
      </c>
      <c r="I32" s="26">
        <v>3</v>
      </c>
      <c r="J32" s="26"/>
      <c r="K32" s="26"/>
      <c r="L32" s="26"/>
      <c r="M32" s="5"/>
      <c r="N32" s="30">
        <v>46156</v>
      </c>
      <c r="O32" s="30"/>
      <c r="P32" s="30"/>
      <c r="Q32" s="50"/>
      <c r="R32" s="5" t="s">
        <v>618</v>
      </c>
      <c r="S32" s="28"/>
      <c r="T32" s="4"/>
      <c r="U32" s="48"/>
      <c r="V32" s="29"/>
      <c r="W32" s="44"/>
      <c r="X32" s="45"/>
      <c r="Y32" s="40"/>
      <c r="Z32" s="40"/>
      <c r="AA32" s="41"/>
      <c r="AB32" s="45"/>
      <c r="AC32" s="45"/>
    </row>
    <row r="33" spans="2:29" ht="16" x14ac:dyDescent="0.4">
      <c r="B33" s="55">
        <f>ROW() - ROW(Table1[[#Headers],[ID]])</f>
        <v>28</v>
      </c>
      <c r="C33" s="105"/>
      <c r="D33" s="105"/>
      <c r="E33" s="6" t="s">
        <v>573</v>
      </c>
      <c r="F33" s="52" t="s">
        <v>592</v>
      </c>
      <c r="G33" s="6" t="s">
        <v>621</v>
      </c>
      <c r="H33" s="26">
        <v>2</v>
      </c>
      <c r="I33" s="26">
        <v>2</v>
      </c>
      <c r="J33" s="26"/>
      <c r="K33" s="26"/>
      <c r="L33" s="26"/>
      <c r="M33" s="5"/>
      <c r="N33" s="30">
        <v>46156</v>
      </c>
      <c r="O33" s="30"/>
      <c r="P33" s="30"/>
      <c r="Q33" s="50"/>
      <c r="R33" s="5" t="s">
        <v>618</v>
      </c>
      <c r="S33" s="28"/>
      <c r="T33" s="4"/>
      <c r="U33" s="48"/>
      <c r="V33" s="29"/>
      <c r="W33" s="44"/>
      <c r="X33" s="45"/>
      <c r="Y33" s="40"/>
      <c r="Z33" s="40"/>
      <c r="AA33" s="41"/>
      <c r="AB33" s="45"/>
      <c r="AC33" s="45"/>
    </row>
    <row r="34" spans="2:29" ht="16" x14ac:dyDescent="0.4">
      <c r="B34" s="55">
        <f>ROW() - ROW(Table1[[#Headers],[ID]])</f>
        <v>29</v>
      </c>
      <c r="C34" s="105"/>
      <c r="D34" s="105"/>
      <c r="E34" s="6" t="s">
        <v>574</v>
      </c>
      <c r="F34" s="52" t="s">
        <v>588</v>
      </c>
      <c r="G34" s="6" t="s">
        <v>621</v>
      </c>
      <c r="H34" s="26">
        <v>1</v>
      </c>
      <c r="I34" s="26">
        <v>1</v>
      </c>
      <c r="J34" s="26"/>
      <c r="K34" s="26"/>
      <c r="L34" s="26"/>
      <c r="M34" s="5"/>
      <c r="N34" s="30">
        <v>46156</v>
      </c>
      <c r="O34" s="30"/>
      <c r="P34" s="30"/>
      <c r="Q34" s="50"/>
      <c r="R34" s="5" t="s">
        <v>618</v>
      </c>
      <c r="S34" s="28"/>
      <c r="T34" s="4"/>
      <c r="U34" s="48"/>
      <c r="V34" s="29"/>
      <c r="W34" s="44"/>
      <c r="X34" s="45"/>
      <c r="Y34" s="40"/>
      <c r="Z34" s="40"/>
      <c r="AA34" s="41"/>
      <c r="AB34" s="45"/>
      <c r="AC34" s="45"/>
    </row>
    <row r="35" spans="2:29" ht="16" x14ac:dyDescent="0.4">
      <c r="B35" s="55">
        <f>ROW() - ROW(Table1[[#Headers],[ID]])</f>
        <v>30</v>
      </c>
      <c r="C35" s="105"/>
      <c r="D35" s="105"/>
      <c r="E35" s="6" t="s">
        <v>101</v>
      </c>
      <c r="F35" s="52" t="s">
        <v>585</v>
      </c>
      <c r="G35" s="6" t="s">
        <v>621</v>
      </c>
      <c r="H35" s="26">
        <v>1</v>
      </c>
      <c r="I35" s="26">
        <v>1</v>
      </c>
      <c r="J35" s="26"/>
      <c r="K35" s="26"/>
      <c r="L35" s="26"/>
      <c r="M35" s="5"/>
      <c r="N35" s="30">
        <v>46156</v>
      </c>
      <c r="O35" s="30"/>
      <c r="P35" s="30"/>
      <c r="Q35" s="50"/>
      <c r="R35" s="5" t="s">
        <v>618</v>
      </c>
      <c r="S35" s="28"/>
      <c r="T35" s="4"/>
      <c r="U35" s="48"/>
      <c r="V35" s="29"/>
      <c r="W35" s="44"/>
      <c r="X35" s="45"/>
      <c r="Y35" s="40"/>
      <c r="Z35" s="40"/>
      <c r="AA35" s="41"/>
      <c r="AB35" s="45"/>
      <c r="AC35" s="45"/>
    </row>
    <row r="36" spans="2:29" ht="16" x14ac:dyDescent="0.4">
      <c r="B36" s="55">
        <f>ROW() - ROW(Table1[[#Headers],[ID]])</f>
        <v>31</v>
      </c>
      <c r="C36" s="105"/>
      <c r="D36" s="105"/>
      <c r="E36" s="6" t="s">
        <v>572</v>
      </c>
      <c r="F36" s="52" t="s">
        <v>580</v>
      </c>
      <c r="G36" s="6" t="s">
        <v>622</v>
      </c>
      <c r="H36" s="26">
        <v>1</v>
      </c>
      <c r="I36" s="26">
        <v>1</v>
      </c>
      <c r="J36" s="26"/>
      <c r="K36" s="26"/>
      <c r="L36" s="26"/>
      <c r="M36" s="5"/>
      <c r="N36" s="30">
        <v>46156</v>
      </c>
      <c r="O36" s="30"/>
      <c r="P36" s="30"/>
      <c r="Q36" s="50"/>
      <c r="R36" s="5" t="s">
        <v>618</v>
      </c>
      <c r="S36" s="28"/>
      <c r="T36" s="4"/>
      <c r="U36" s="48"/>
      <c r="V36" s="29"/>
      <c r="W36" s="44"/>
      <c r="X36" s="45"/>
      <c r="Y36" s="40"/>
      <c r="Z36" s="40"/>
      <c r="AA36" s="41"/>
      <c r="AB36" s="45"/>
      <c r="AC36" s="45"/>
    </row>
    <row r="37" spans="2:29" ht="20.149999999999999" customHeight="1" x14ac:dyDescent="0.4">
      <c r="B37" s="55">
        <f>ROW() - ROW(Table1[[#Headers],[ID]])</f>
        <v>32</v>
      </c>
      <c r="C37" s="105"/>
      <c r="D37" s="105"/>
      <c r="E37" s="6" t="s">
        <v>75</v>
      </c>
      <c r="F37" s="52" t="s">
        <v>580</v>
      </c>
      <c r="G37" s="6" t="s">
        <v>622</v>
      </c>
      <c r="H37" s="26">
        <v>1</v>
      </c>
      <c r="I37" s="26">
        <v>1</v>
      </c>
      <c r="J37" s="26"/>
      <c r="K37" s="26"/>
      <c r="L37" s="26"/>
      <c r="M37" s="5"/>
      <c r="N37" s="30">
        <v>46156</v>
      </c>
      <c r="O37" s="30"/>
      <c r="P37" s="30"/>
      <c r="Q37" s="50"/>
      <c r="R37" s="5" t="s">
        <v>618</v>
      </c>
      <c r="S37" s="28"/>
      <c r="T37" s="4"/>
      <c r="U37" s="48"/>
      <c r="V37" s="29"/>
      <c r="W37" s="44"/>
      <c r="X37" s="45"/>
      <c r="Y37" s="40"/>
      <c r="Z37" s="40"/>
      <c r="AA37" s="41"/>
      <c r="AB37" s="45"/>
      <c r="AC37" s="45"/>
    </row>
    <row r="38" spans="2:29" ht="20.149999999999999" customHeight="1" x14ac:dyDescent="0.4">
      <c r="B38" s="55">
        <f>ROW() - ROW(Table1[[#Headers],[ID]])</f>
        <v>33</v>
      </c>
      <c r="C38" s="105"/>
      <c r="D38" s="105"/>
      <c r="E38" s="6" t="s">
        <v>573</v>
      </c>
      <c r="F38" s="52" t="s">
        <v>594</v>
      </c>
      <c r="G38" s="6" t="s">
        <v>622</v>
      </c>
      <c r="H38" s="26">
        <v>1</v>
      </c>
      <c r="I38" s="26">
        <v>1</v>
      </c>
      <c r="J38" s="26"/>
      <c r="K38" s="26"/>
      <c r="L38" s="26"/>
      <c r="M38" s="5"/>
      <c r="N38" s="30">
        <v>46156</v>
      </c>
      <c r="O38" s="30"/>
      <c r="P38" s="30"/>
      <c r="Q38" s="50"/>
      <c r="R38" s="5" t="s">
        <v>618</v>
      </c>
      <c r="S38" s="28"/>
      <c r="T38" s="4"/>
      <c r="U38" s="48"/>
      <c r="V38" s="29"/>
      <c r="W38" s="44"/>
      <c r="X38" s="45"/>
      <c r="Y38" s="40"/>
      <c r="Z38" s="40"/>
      <c r="AA38" s="41"/>
      <c r="AB38" s="45"/>
      <c r="AC38" s="45"/>
    </row>
    <row r="39" spans="2:29" ht="20.149999999999999" customHeight="1" x14ac:dyDescent="0.4">
      <c r="B39" s="55">
        <f>ROW() - ROW(Table1[[#Headers],[ID]])</f>
        <v>34</v>
      </c>
      <c r="C39" s="105"/>
      <c r="D39" s="105"/>
      <c r="E39" s="6" t="s">
        <v>573</v>
      </c>
      <c r="F39" s="52" t="s">
        <v>588</v>
      </c>
      <c r="G39" s="6" t="s">
        <v>622</v>
      </c>
      <c r="H39" s="26">
        <v>3</v>
      </c>
      <c r="I39" s="26">
        <v>3</v>
      </c>
      <c r="J39" s="26"/>
      <c r="K39" s="26"/>
      <c r="L39" s="26"/>
      <c r="M39" s="5"/>
      <c r="N39" s="30">
        <v>46156</v>
      </c>
      <c r="O39" s="30"/>
      <c r="P39" s="30"/>
      <c r="Q39" s="50"/>
      <c r="R39" s="5" t="s">
        <v>618</v>
      </c>
      <c r="S39" s="28"/>
      <c r="T39" s="4"/>
      <c r="U39" s="48"/>
      <c r="V39" s="29"/>
      <c r="W39" s="44"/>
      <c r="X39" s="45"/>
      <c r="Y39" s="40"/>
      <c r="Z39" s="40"/>
      <c r="AA39" s="41"/>
      <c r="AB39" s="45"/>
      <c r="AC39" s="45"/>
    </row>
    <row r="40" spans="2:29" customFormat="1" ht="20.149999999999999" customHeight="1" x14ac:dyDescent="0.4">
      <c r="B40" s="55">
        <f>ROW() - ROW(Table1[[#Headers],[ID]])</f>
        <v>35</v>
      </c>
      <c r="C40" s="106"/>
      <c r="D40" s="106"/>
      <c r="E40" s="6" t="s">
        <v>573</v>
      </c>
      <c r="F40" s="52" t="s">
        <v>592</v>
      </c>
      <c r="G40" s="6" t="s">
        <v>622</v>
      </c>
      <c r="H40" s="26">
        <v>2</v>
      </c>
      <c r="I40" s="26">
        <v>2</v>
      </c>
      <c r="J40" s="26"/>
      <c r="K40" s="26"/>
      <c r="L40" s="26"/>
      <c r="M40" s="5"/>
      <c r="N40" s="30">
        <v>46156</v>
      </c>
      <c r="O40" s="30"/>
      <c r="P40" s="30"/>
      <c r="Q40" s="30"/>
      <c r="R40" s="5" t="s">
        <v>618</v>
      </c>
      <c r="S40" s="26"/>
      <c r="T40" s="45"/>
      <c r="U40" s="26"/>
      <c r="V40" s="45"/>
      <c r="W40" s="45"/>
      <c r="X40" s="45"/>
      <c r="Y40" s="45"/>
      <c r="Z40" s="45"/>
      <c r="AA40" s="45"/>
      <c r="AB40" s="45"/>
      <c r="AC40" s="45"/>
    </row>
    <row r="41" spans="2:29" ht="20.149999999999999" customHeight="1" x14ac:dyDescent="0.4">
      <c r="B41" s="55">
        <f>ROW() - ROW(Table1[[#Headers],[ID]])</f>
        <v>36</v>
      </c>
      <c r="C41" s="105"/>
      <c r="D41" s="105"/>
      <c r="E41" s="6" t="s">
        <v>575</v>
      </c>
      <c r="F41" s="52" t="s">
        <v>592</v>
      </c>
      <c r="G41" s="6" t="s">
        <v>622</v>
      </c>
      <c r="H41" s="26">
        <v>1</v>
      </c>
      <c r="I41" s="26">
        <v>1</v>
      </c>
      <c r="J41" s="26"/>
      <c r="K41" s="26"/>
      <c r="L41" s="26"/>
      <c r="M41" s="5"/>
      <c r="N41" s="30">
        <v>46156</v>
      </c>
      <c r="O41" s="30"/>
      <c r="P41" s="30"/>
      <c r="Q41" s="50"/>
      <c r="R41" s="5" t="s">
        <v>618</v>
      </c>
      <c r="S41" s="28"/>
      <c r="T41" s="4"/>
      <c r="U41" s="48"/>
      <c r="V41" s="29"/>
      <c r="W41" s="44"/>
      <c r="X41" s="45"/>
      <c r="Y41" s="40"/>
      <c r="Z41" s="40"/>
      <c r="AA41" s="41"/>
      <c r="AB41" s="45"/>
      <c r="AC41" s="45"/>
    </row>
    <row r="42" spans="2:29" ht="20.149999999999999" customHeight="1" x14ac:dyDescent="0.4">
      <c r="B42" s="63">
        <f>ROW() - ROW(Table1[[#Headers],[ID]])</f>
        <v>37</v>
      </c>
      <c r="C42" s="105"/>
      <c r="D42" s="105"/>
      <c r="E42" s="6" t="s">
        <v>575</v>
      </c>
      <c r="F42" s="52" t="s">
        <v>588</v>
      </c>
      <c r="G42" s="6" t="s">
        <v>622</v>
      </c>
      <c r="H42" s="26">
        <v>1</v>
      </c>
      <c r="I42" s="26">
        <v>1</v>
      </c>
      <c r="J42" s="26"/>
      <c r="K42" s="26"/>
      <c r="L42" s="26"/>
      <c r="M42" s="5"/>
      <c r="N42" s="30">
        <v>46156</v>
      </c>
      <c r="O42" s="30"/>
      <c r="P42" s="30"/>
      <c r="Q42" s="50"/>
      <c r="R42" s="5" t="s">
        <v>618</v>
      </c>
      <c r="S42" s="28"/>
      <c r="T42" s="4"/>
      <c r="U42" s="48"/>
      <c r="V42" s="29"/>
      <c r="W42" s="44"/>
      <c r="X42" s="45"/>
      <c r="Y42" s="40"/>
      <c r="Z42" s="40"/>
      <c r="AA42" s="41"/>
      <c r="AB42" s="45"/>
      <c r="AC42" s="45"/>
    </row>
    <row r="43" spans="2:29" ht="20.149999999999999" customHeight="1" x14ac:dyDescent="0.4">
      <c r="B43" s="63">
        <f>ROW() - ROW(Table1[[#Headers],[ID]])</f>
        <v>38</v>
      </c>
      <c r="C43" s="105"/>
      <c r="D43" s="105"/>
      <c r="E43" s="6" t="s">
        <v>573</v>
      </c>
      <c r="F43" s="52" t="s">
        <v>594</v>
      </c>
      <c r="G43" s="6" t="s">
        <v>623</v>
      </c>
      <c r="H43" s="26">
        <v>1</v>
      </c>
      <c r="I43" s="26">
        <v>1</v>
      </c>
      <c r="J43" s="26"/>
      <c r="K43" s="26"/>
      <c r="L43" s="26"/>
      <c r="M43" s="5"/>
      <c r="N43" s="30">
        <v>46156</v>
      </c>
      <c r="O43" s="30"/>
      <c r="P43" s="30"/>
      <c r="Q43" s="50"/>
      <c r="R43" s="5" t="s">
        <v>618</v>
      </c>
      <c r="S43" s="28"/>
      <c r="T43" s="4"/>
      <c r="U43" s="48"/>
      <c r="V43" s="29"/>
      <c r="W43" s="44"/>
      <c r="X43" s="45"/>
      <c r="Y43" s="40"/>
      <c r="Z43" s="40"/>
      <c r="AA43" s="41"/>
      <c r="AB43" s="45"/>
      <c r="AC43" s="45"/>
    </row>
    <row r="44" spans="2:29" ht="20.149999999999999" customHeight="1" x14ac:dyDescent="0.4">
      <c r="B44" s="55">
        <f>ROW() - ROW(Table1[[#Headers],[ID]])</f>
        <v>39</v>
      </c>
      <c r="C44" s="105"/>
      <c r="D44" s="105"/>
      <c r="E44" s="6" t="s">
        <v>573</v>
      </c>
      <c r="F44" s="52" t="s">
        <v>588</v>
      </c>
      <c r="G44" s="6" t="s">
        <v>623</v>
      </c>
      <c r="H44" s="26">
        <v>3</v>
      </c>
      <c r="I44" s="26">
        <v>3</v>
      </c>
      <c r="J44" s="26"/>
      <c r="K44" s="26"/>
      <c r="L44" s="26"/>
      <c r="M44" s="5"/>
      <c r="N44" s="30">
        <v>46156</v>
      </c>
      <c r="O44" s="30"/>
      <c r="P44" s="30"/>
      <c r="Q44" s="50"/>
      <c r="R44" s="5" t="s">
        <v>618</v>
      </c>
      <c r="S44" s="28"/>
      <c r="T44" s="4"/>
      <c r="U44" s="48"/>
      <c r="V44" s="29"/>
      <c r="W44" s="44"/>
      <c r="X44" s="45"/>
      <c r="Y44" s="40"/>
      <c r="Z44" s="40"/>
      <c r="AA44" s="41"/>
      <c r="AB44" s="45"/>
      <c r="AC44" s="45"/>
    </row>
    <row r="45" spans="2:29" ht="16" x14ac:dyDescent="0.4">
      <c r="B45" s="55">
        <f>ROW() - ROW(Table1[[#Headers],[ID]])</f>
        <v>40</v>
      </c>
      <c r="C45" s="105"/>
      <c r="D45" s="105"/>
      <c r="E45" s="6" t="s">
        <v>573</v>
      </c>
      <c r="F45" s="52" t="s">
        <v>592</v>
      </c>
      <c r="G45" s="6" t="s">
        <v>623</v>
      </c>
      <c r="H45" s="26">
        <v>2</v>
      </c>
      <c r="I45" s="26">
        <v>2</v>
      </c>
      <c r="J45" s="26"/>
      <c r="K45" s="26"/>
      <c r="L45" s="26"/>
      <c r="M45" s="5"/>
      <c r="N45" s="30">
        <v>46156</v>
      </c>
      <c r="O45" s="30"/>
      <c r="P45" s="30"/>
      <c r="Q45" s="50"/>
      <c r="R45" s="5" t="s">
        <v>618</v>
      </c>
      <c r="S45" s="28"/>
      <c r="T45" s="4"/>
      <c r="U45" s="48"/>
      <c r="V45" s="29"/>
      <c r="W45" s="44"/>
      <c r="X45" s="45"/>
      <c r="Y45" s="40"/>
      <c r="Z45" s="40"/>
      <c r="AA45" s="41"/>
      <c r="AB45" s="45"/>
      <c r="AC45" s="45"/>
    </row>
    <row r="46" spans="2:29" ht="16" x14ac:dyDescent="0.4">
      <c r="B46" s="55">
        <f>ROW() - ROW(Table1[[#Headers],[ID]])</f>
        <v>41</v>
      </c>
      <c r="C46" s="105"/>
      <c r="D46" s="105"/>
      <c r="E46" s="6" t="s">
        <v>575</v>
      </c>
      <c r="F46" s="52" t="s">
        <v>592</v>
      </c>
      <c r="G46" s="6" t="s">
        <v>623</v>
      </c>
      <c r="H46" s="26">
        <v>1</v>
      </c>
      <c r="I46" s="26">
        <v>1</v>
      </c>
      <c r="J46" s="26"/>
      <c r="K46" s="26"/>
      <c r="L46" s="26"/>
      <c r="M46" s="5"/>
      <c r="N46" s="30">
        <v>46156</v>
      </c>
      <c r="O46" s="30"/>
      <c r="P46" s="30"/>
      <c r="Q46" s="50"/>
      <c r="R46" s="5" t="s">
        <v>618</v>
      </c>
      <c r="S46" s="28"/>
      <c r="T46" s="4"/>
      <c r="U46" s="48"/>
      <c r="V46" s="29"/>
      <c r="W46" s="44"/>
      <c r="X46" s="45"/>
      <c r="Y46" s="40"/>
      <c r="Z46" s="40"/>
      <c r="AA46" s="41"/>
      <c r="AB46" s="45"/>
      <c r="AC46" s="45"/>
    </row>
    <row r="47" spans="2:29" ht="16" x14ac:dyDescent="0.4">
      <c r="B47" s="55">
        <f>ROW() - ROW(Table1[[#Headers],[ID]])</f>
        <v>42</v>
      </c>
      <c r="C47" s="105"/>
      <c r="D47" s="105"/>
      <c r="E47" s="6" t="s">
        <v>575</v>
      </c>
      <c r="F47" s="52" t="s">
        <v>588</v>
      </c>
      <c r="G47" s="6" t="s">
        <v>623</v>
      </c>
      <c r="H47" s="26">
        <v>1</v>
      </c>
      <c r="I47" s="26">
        <v>1</v>
      </c>
      <c r="J47" s="26"/>
      <c r="K47" s="26"/>
      <c r="L47" s="26"/>
      <c r="M47" s="5"/>
      <c r="N47" s="30">
        <v>46156</v>
      </c>
      <c r="O47" s="30"/>
      <c r="P47" s="30"/>
      <c r="Q47" s="50"/>
      <c r="R47" s="5" t="s">
        <v>618</v>
      </c>
      <c r="S47" s="28"/>
      <c r="T47" s="4"/>
      <c r="U47" s="48"/>
      <c r="V47" s="29"/>
      <c r="W47" s="44"/>
      <c r="X47" s="45"/>
      <c r="Y47" s="40"/>
      <c r="Z47" s="40"/>
      <c r="AA47" s="41"/>
      <c r="AB47" s="45"/>
      <c r="AC47" s="45"/>
    </row>
    <row r="48" spans="2:29" ht="16" x14ac:dyDescent="0.4">
      <c r="B48" s="55">
        <f>ROW() - ROW(Table1[[#Headers],[ID]])</f>
        <v>43</v>
      </c>
      <c r="C48" s="105"/>
      <c r="D48" s="105"/>
      <c r="E48" s="6" t="s">
        <v>572</v>
      </c>
      <c r="F48" s="52" t="s">
        <v>580</v>
      </c>
      <c r="G48" s="6" t="s">
        <v>624</v>
      </c>
      <c r="H48" s="26">
        <v>1</v>
      </c>
      <c r="I48" s="26">
        <v>1</v>
      </c>
      <c r="J48" s="26"/>
      <c r="K48" s="26"/>
      <c r="L48" s="26"/>
      <c r="M48" s="5"/>
      <c r="N48" s="30">
        <v>46156</v>
      </c>
      <c r="O48" s="30"/>
      <c r="P48" s="30"/>
      <c r="Q48" s="50"/>
      <c r="R48" s="5" t="s">
        <v>618</v>
      </c>
      <c r="S48" s="28"/>
      <c r="T48" s="4"/>
      <c r="U48" s="48"/>
      <c r="V48" s="29"/>
      <c r="W48" s="44"/>
      <c r="X48" s="45"/>
      <c r="Y48" s="40"/>
      <c r="Z48" s="40"/>
      <c r="AA48" s="41"/>
      <c r="AB48" s="45"/>
      <c r="AC48" s="45"/>
    </row>
    <row r="49" spans="2:29" ht="16" x14ac:dyDescent="0.4">
      <c r="B49" s="55">
        <f>ROW() - ROW(Table1[[#Headers],[ID]])</f>
        <v>44</v>
      </c>
      <c r="C49" s="105"/>
      <c r="D49" s="105"/>
      <c r="E49" s="6" t="s">
        <v>75</v>
      </c>
      <c r="F49" s="52" t="s">
        <v>580</v>
      </c>
      <c r="G49" s="6" t="s">
        <v>624</v>
      </c>
      <c r="H49" s="26">
        <v>1</v>
      </c>
      <c r="I49" s="26">
        <v>1</v>
      </c>
      <c r="J49" s="26"/>
      <c r="K49" s="26"/>
      <c r="L49" s="26"/>
      <c r="M49" s="5"/>
      <c r="N49" s="30">
        <v>46156</v>
      </c>
      <c r="O49" s="30"/>
      <c r="P49" s="30"/>
      <c r="Q49" s="50"/>
      <c r="R49" s="5" t="s">
        <v>618</v>
      </c>
      <c r="S49" s="28"/>
      <c r="T49" s="4"/>
      <c r="U49" s="48"/>
      <c r="V49" s="29"/>
      <c r="W49" s="44"/>
      <c r="X49" s="45"/>
      <c r="Y49" s="40"/>
      <c r="Z49" s="40"/>
      <c r="AA49" s="41"/>
      <c r="AB49" s="45"/>
      <c r="AC49" s="45"/>
    </row>
    <row r="50" spans="2:29" ht="16" x14ac:dyDescent="0.4">
      <c r="B50" s="55">
        <f>ROW() - ROW(Table1[[#Headers],[ID]])</f>
        <v>45</v>
      </c>
      <c r="C50" s="105"/>
      <c r="D50" s="105"/>
      <c r="E50" s="6" t="s">
        <v>575</v>
      </c>
      <c r="F50" s="52" t="s">
        <v>592</v>
      </c>
      <c r="G50" s="6" t="s">
        <v>624</v>
      </c>
      <c r="H50" s="26">
        <v>3</v>
      </c>
      <c r="I50" s="26">
        <v>3</v>
      </c>
      <c r="J50" s="26"/>
      <c r="K50" s="26"/>
      <c r="L50" s="26"/>
      <c r="M50" s="5"/>
      <c r="N50" s="30">
        <v>46156</v>
      </c>
      <c r="O50" s="30"/>
      <c r="P50" s="30"/>
      <c r="Q50" s="50"/>
      <c r="R50" s="5" t="s">
        <v>618</v>
      </c>
      <c r="S50" s="28"/>
      <c r="T50" s="4"/>
      <c r="U50" s="48"/>
      <c r="V50" s="29"/>
      <c r="W50" s="44"/>
      <c r="X50" s="45"/>
      <c r="Y50" s="40"/>
      <c r="Z50" s="40"/>
      <c r="AA50" s="41"/>
      <c r="AB50" s="45"/>
      <c r="AC50" s="45"/>
    </row>
    <row r="51" spans="2:29" ht="16" x14ac:dyDescent="0.4">
      <c r="B51" s="55">
        <f>ROW() - ROW(Table1[[#Headers],[ID]])</f>
        <v>46</v>
      </c>
      <c r="C51" s="105"/>
      <c r="D51" s="105"/>
      <c r="E51" s="6" t="s">
        <v>575</v>
      </c>
      <c r="F51" s="52" t="s">
        <v>588</v>
      </c>
      <c r="G51" s="6" t="s">
        <v>624</v>
      </c>
      <c r="H51" s="26">
        <v>2</v>
      </c>
      <c r="I51" s="26">
        <v>2</v>
      </c>
      <c r="J51" s="26"/>
      <c r="K51" s="26"/>
      <c r="L51" s="26"/>
      <c r="M51" s="5"/>
      <c r="N51" s="30">
        <v>46156</v>
      </c>
      <c r="O51" s="30"/>
      <c r="P51" s="30"/>
      <c r="Q51" s="50"/>
      <c r="R51" s="5" t="s">
        <v>618</v>
      </c>
      <c r="S51" s="28"/>
      <c r="T51" s="4"/>
      <c r="U51" s="48"/>
      <c r="V51" s="29"/>
      <c r="W51" s="44"/>
      <c r="X51" s="45"/>
      <c r="Y51" s="40"/>
      <c r="Z51" s="40"/>
      <c r="AA51" s="41"/>
      <c r="AB51" s="45"/>
      <c r="AC51" s="45"/>
    </row>
    <row r="52" spans="2:29" ht="16" x14ac:dyDescent="0.4">
      <c r="B52" s="55">
        <f>ROW() - ROW(Table1[[#Headers],[ID]])</f>
        <v>47</v>
      </c>
      <c r="C52" s="105"/>
      <c r="D52" s="105"/>
      <c r="E52" s="6" t="s">
        <v>572</v>
      </c>
      <c r="F52" s="52" t="s">
        <v>580</v>
      </c>
      <c r="G52" s="6" t="s">
        <v>625</v>
      </c>
      <c r="H52" s="26">
        <v>1</v>
      </c>
      <c r="I52" s="26">
        <v>1</v>
      </c>
      <c r="J52" s="26"/>
      <c r="K52" s="26"/>
      <c r="L52" s="26"/>
      <c r="M52" s="5"/>
      <c r="N52" s="30">
        <v>46156</v>
      </c>
      <c r="O52" s="30"/>
      <c r="P52" s="30"/>
      <c r="Q52" s="50"/>
      <c r="R52" s="5" t="s">
        <v>618</v>
      </c>
      <c r="S52" s="28"/>
      <c r="T52" s="4"/>
      <c r="U52" s="48"/>
      <c r="V52" s="29"/>
      <c r="W52" s="44"/>
      <c r="X52" s="45"/>
      <c r="Y52" s="40"/>
      <c r="Z52" s="40"/>
      <c r="AA52" s="41"/>
      <c r="AB52" s="45"/>
      <c r="AC52" s="45"/>
    </row>
    <row r="53" spans="2:29" ht="16" x14ac:dyDescent="0.4">
      <c r="B53" s="55">
        <f>ROW() - ROW(Table1[[#Headers],[ID]])</f>
        <v>48</v>
      </c>
      <c r="C53" s="105"/>
      <c r="D53" s="105"/>
      <c r="E53" s="6" t="s">
        <v>75</v>
      </c>
      <c r="F53" s="52" t="s">
        <v>580</v>
      </c>
      <c r="G53" s="6" t="s">
        <v>625</v>
      </c>
      <c r="H53" s="26">
        <v>1</v>
      </c>
      <c r="I53" s="26">
        <v>1</v>
      </c>
      <c r="J53" s="26"/>
      <c r="K53" s="26"/>
      <c r="L53" s="26"/>
      <c r="M53" s="5"/>
      <c r="N53" s="30">
        <v>46156</v>
      </c>
      <c r="O53" s="30"/>
      <c r="P53" s="30"/>
      <c r="Q53" s="50"/>
      <c r="R53" s="5" t="s">
        <v>618</v>
      </c>
      <c r="S53" s="28"/>
      <c r="T53" s="4"/>
      <c r="U53" s="48"/>
      <c r="V53" s="29"/>
      <c r="W53" s="44"/>
      <c r="X53" s="45"/>
      <c r="Y53" s="40"/>
      <c r="Z53" s="40"/>
      <c r="AA53" s="41"/>
      <c r="AB53" s="45"/>
      <c r="AC53" s="45"/>
    </row>
    <row r="54" spans="2:29" ht="16" x14ac:dyDescent="0.4">
      <c r="B54" s="55">
        <f>ROW() - ROW(Table1[[#Headers],[ID]])</f>
        <v>49</v>
      </c>
      <c r="C54" s="105"/>
      <c r="D54" s="105"/>
      <c r="E54" s="6" t="s">
        <v>573</v>
      </c>
      <c r="F54" s="52" t="s">
        <v>585</v>
      </c>
      <c r="G54" s="6" t="s">
        <v>625</v>
      </c>
      <c r="H54" s="26">
        <v>2</v>
      </c>
      <c r="I54" s="26">
        <v>2</v>
      </c>
      <c r="J54" s="26"/>
      <c r="K54" s="26"/>
      <c r="L54" s="26"/>
      <c r="M54" s="5"/>
      <c r="N54" s="30">
        <v>46156</v>
      </c>
      <c r="O54" s="30"/>
      <c r="P54" s="30"/>
      <c r="Q54" s="50"/>
      <c r="R54" s="5" t="s">
        <v>618</v>
      </c>
      <c r="S54" s="28"/>
      <c r="T54" s="4"/>
      <c r="U54" s="48"/>
      <c r="V54" s="29"/>
      <c r="W54" s="44"/>
      <c r="X54" s="45"/>
      <c r="Y54" s="40"/>
      <c r="Z54" s="40"/>
      <c r="AA54" s="41"/>
      <c r="AB54" s="49"/>
      <c r="AC54" s="45"/>
    </row>
    <row r="55" spans="2:29" ht="16" x14ac:dyDescent="0.4">
      <c r="B55" s="55">
        <f>ROW() - ROW(Table1[[#Headers],[ID]])</f>
        <v>50</v>
      </c>
      <c r="C55" s="105"/>
      <c r="D55" s="105"/>
      <c r="E55" s="6" t="s">
        <v>573</v>
      </c>
      <c r="F55" s="52" t="s">
        <v>588</v>
      </c>
      <c r="G55" s="6" t="s">
        <v>625</v>
      </c>
      <c r="H55" s="26">
        <v>2</v>
      </c>
      <c r="I55" s="26">
        <v>2</v>
      </c>
      <c r="J55" s="26"/>
      <c r="K55" s="26"/>
      <c r="L55" s="26"/>
      <c r="M55" s="5"/>
      <c r="N55" s="30">
        <v>46156</v>
      </c>
      <c r="O55" s="30"/>
      <c r="P55" s="30"/>
      <c r="Q55" s="50"/>
      <c r="R55" s="5" t="s">
        <v>618</v>
      </c>
      <c r="S55" s="28"/>
      <c r="T55" s="4"/>
      <c r="U55" s="48"/>
      <c r="V55" s="29"/>
      <c r="W55" s="44"/>
      <c r="X55" s="45"/>
      <c r="Y55" s="40"/>
      <c r="Z55" s="40"/>
      <c r="AA55" s="41"/>
      <c r="AB55" s="45"/>
      <c r="AC55" s="45"/>
    </row>
    <row r="56" spans="2:29" ht="16" x14ac:dyDescent="0.4">
      <c r="B56" s="55">
        <f>ROW() - ROW(Table1[[#Headers],[ID]])</f>
        <v>51</v>
      </c>
      <c r="C56" s="105"/>
      <c r="D56" s="105"/>
      <c r="E56" s="6" t="s">
        <v>573</v>
      </c>
      <c r="F56" s="52" t="s">
        <v>592</v>
      </c>
      <c r="G56" s="6" t="s">
        <v>625</v>
      </c>
      <c r="H56" s="26">
        <v>2</v>
      </c>
      <c r="I56" s="26">
        <v>2</v>
      </c>
      <c r="J56" s="26"/>
      <c r="K56" s="26"/>
      <c r="L56" s="26"/>
      <c r="M56" s="5"/>
      <c r="N56" s="30">
        <v>46156</v>
      </c>
      <c r="O56" s="30"/>
      <c r="P56" s="30"/>
      <c r="Q56" s="50"/>
      <c r="R56" s="5" t="s">
        <v>618</v>
      </c>
      <c r="S56" s="28"/>
      <c r="T56" s="4"/>
      <c r="U56" s="48"/>
      <c r="V56" s="29"/>
      <c r="W56" s="44"/>
      <c r="X56" s="45"/>
      <c r="Y56" s="40"/>
      <c r="Z56" s="40"/>
      <c r="AA56" s="41"/>
      <c r="AB56" s="49"/>
      <c r="AC56" s="45"/>
    </row>
    <row r="57" spans="2:29" ht="16" x14ac:dyDescent="0.4">
      <c r="B57" s="55">
        <f>ROW() - ROW(Table1[[#Headers],[ID]])</f>
        <v>52</v>
      </c>
      <c r="C57" s="105"/>
      <c r="D57" s="105"/>
      <c r="E57" s="6" t="s">
        <v>575</v>
      </c>
      <c r="F57" s="52" t="s">
        <v>585</v>
      </c>
      <c r="G57" s="6" t="s">
        <v>625</v>
      </c>
      <c r="H57" s="26">
        <v>1</v>
      </c>
      <c r="I57" s="26">
        <v>1</v>
      </c>
      <c r="J57" s="26"/>
      <c r="K57" s="26"/>
      <c r="L57" s="26"/>
      <c r="M57" s="5"/>
      <c r="N57" s="30">
        <v>46156</v>
      </c>
      <c r="O57" s="30"/>
      <c r="P57" s="30"/>
      <c r="Q57" s="50"/>
      <c r="R57" s="5" t="s">
        <v>618</v>
      </c>
      <c r="S57" s="28"/>
      <c r="T57" s="4"/>
      <c r="U57" s="48"/>
      <c r="V57" s="29"/>
      <c r="W57" s="44"/>
      <c r="X57" s="45"/>
      <c r="Y57" s="40"/>
      <c r="Z57" s="40"/>
      <c r="AA57" s="41"/>
      <c r="AB57" s="45"/>
      <c r="AC57" s="45"/>
    </row>
    <row r="58" spans="2:29" ht="16" x14ac:dyDescent="0.4">
      <c r="B58" s="55">
        <f>ROW() - ROW(Table1[[#Headers],[ID]])</f>
        <v>53</v>
      </c>
      <c r="C58" s="105"/>
      <c r="D58" s="105"/>
      <c r="E58" s="6" t="s">
        <v>75</v>
      </c>
      <c r="F58" s="52" t="s">
        <v>580</v>
      </c>
      <c r="G58" s="6" t="s">
        <v>626</v>
      </c>
      <c r="H58" s="26">
        <v>1</v>
      </c>
      <c r="I58" s="26">
        <v>1</v>
      </c>
      <c r="J58" s="26"/>
      <c r="K58" s="26"/>
      <c r="L58" s="26"/>
      <c r="M58" s="5"/>
      <c r="N58" s="30">
        <v>46156</v>
      </c>
      <c r="O58" s="30"/>
      <c r="P58" s="30"/>
      <c r="Q58" s="50"/>
      <c r="R58" s="5" t="s">
        <v>618</v>
      </c>
      <c r="S58" s="28"/>
      <c r="T58" s="4"/>
      <c r="U58" s="48"/>
      <c r="V58" s="29"/>
      <c r="W58" s="44"/>
      <c r="X58" s="45"/>
      <c r="Y58" s="40"/>
      <c r="Z58" s="40"/>
      <c r="AA58" s="41"/>
      <c r="AB58" s="45"/>
      <c r="AC58" s="45"/>
    </row>
    <row r="59" spans="2:29" ht="16" x14ac:dyDescent="0.4">
      <c r="B59" s="55">
        <f>ROW() - ROW(Table1[[#Headers],[ID]])</f>
        <v>54</v>
      </c>
      <c r="C59" s="105"/>
      <c r="D59" s="105"/>
      <c r="E59" s="6" t="s">
        <v>573</v>
      </c>
      <c r="F59" s="52" t="s">
        <v>585</v>
      </c>
      <c r="G59" s="6" t="s">
        <v>626</v>
      </c>
      <c r="H59" s="26">
        <v>2</v>
      </c>
      <c r="I59" s="26">
        <v>2</v>
      </c>
      <c r="J59" s="26"/>
      <c r="K59" s="26"/>
      <c r="L59" s="26"/>
      <c r="M59" s="5"/>
      <c r="N59" s="30">
        <v>46156</v>
      </c>
      <c r="O59" s="30"/>
      <c r="P59" s="30"/>
      <c r="Q59" s="50"/>
      <c r="R59" s="5" t="s">
        <v>618</v>
      </c>
      <c r="S59" s="28"/>
      <c r="T59" s="4"/>
      <c r="U59" s="48"/>
      <c r="V59" s="29"/>
      <c r="W59" s="44"/>
      <c r="X59" s="45"/>
      <c r="Y59" s="40"/>
      <c r="Z59" s="40"/>
      <c r="AA59" s="41"/>
      <c r="AB59" s="45"/>
      <c r="AC59" s="45"/>
    </row>
    <row r="60" spans="2:29" ht="16" x14ac:dyDescent="0.4">
      <c r="B60" s="55">
        <f>ROW() - ROW(Table1[[#Headers],[ID]])</f>
        <v>55</v>
      </c>
      <c r="C60" s="105"/>
      <c r="D60" s="105"/>
      <c r="E60" s="6" t="s">
        <v>573</v>
      </c>
      <c r="F60" s="52" t="s">
        <v>588</v>
      </c>
      <c r="G60" s="6" t="s">
        <v>626</v>
      </c>
      <c r="H60" s="26">
        <v>2</v>
      </c>
      <c r="I60" s="26">
        <v>2</v>
      </c>
      <c r="J60" s="26"/>
      <c r="K60" s="26"/>
      <c r="L60" s="26"/>
      <c r="M60" s="5"/>
      <c r="N60" s="30">
        <v>46156</v>
      </c>
      <c r="O60" s="30"/>
      <c r="P60" s="30"/>
      <c r="Q60" s="50"/>
      <c r="R60" s="5" t="s">
        <v>618</v>
      </c>
      <c r="S60" s="28"/>
      <c r="T60" s="4"/>
      <c r="U60" s="48"/>
      <c r="V60" s="29"/>
      <c r="W60" s="44"/>
      <c r="X60" s="45"/>
      <c r="Y60" s="40"/>
      <c r="Z60" s="40"/>
      <c r="AA60" s="41"/>
      <c r="AB60" s="45"/>
      <c r="AC60" s="45"/>
    </row>
    <row r="61" spans="2:29" ht="16" x14ac:dyDescent="0.4">
      <c r="B61" s="55">
        <f>ROW() - ROW(Table1[[#Headers],[ID]])</f>
        <v>56</v>
      </c>
      <c r="C61" s="105"/>
      <c r="D61" s="105"/>
      <c r="E61" s="6" t="s">
        <v>573</v>
      </c>
      <c r="F61" s="52" t="s">
        <v>592</v>
      </c>
      <c r="G61" s="6" t="s">
        <v>626</v>
      </c>
      <c r="H61" s="26">
        <v>2</v>
      </c>
      <c r="I61" s="26">
        <v>2</v>
      </c>
      <c r="J61" s="26"/>
      <c r="K61" s="26"/>
      <c r="L61" s="26"/>
      <c r="M61" s="5"/>
      <c r="N61" s="30">
        <v>46156</v>
      </c>
      <c r="O61" s="30"/>
      <c r="P61" s="30"/>
      <c r="Q61" s="50"/>
      <c r="R61" s="5" t="s">
        <v>618</v>
      </c>
      <c r="S61" s="28"/>
      <c r="T61" s="4"/>
      <c r="U61" s="48"/>
      <c r="V61" s="29"/>
      <c r="W61" s="44"/>
      <c r="X61" s="45"/>
      <c r="Y61" s="40"/>
      <c r="Z61" s="40"/>
      <c r="AA61" s="41"/>
      <c r="AB61" s="45"/>
      <c r="AC61" s="45"/>
    </row>
    <row r="62" spans="2:29" ht="16" x14ac:dyDescent="0.4">
      <c r="B62" s="55">
        <f>ROW() - ROW(Table1[[#Headers],[ID]])</f>
        <v>57</v>
      </c>
      <c r="C62" s="105"/>
      <c r="D62" s="105"/>
      <c r="E62" s="6" t="s">
        <v>575</v>
      </c>
      <c r="F62" s="52" t="s">
        <v>585</v>
      </c>
      <c r="G62" s="6" t="s">
        <v>626</v>
      </c>
      <c r="H62" s="26">
        <v>1</v>
      </c>
      <c r="I62" s="26">
        <v>1</v>
      </c>
      <c r="J62" s="26"/>
      <c r="K62" s="26"/>
      <c r="L62" s="26"/>
      <c r="M62" s="5"/>
      <c r="N62" s="30">
        <v>46156</v>
      </c>
      <c r="O62" s="30"/>
      <c r="P62" s="30"/>
      <c r="Q62" s="50"/>
      <c r="R62" s="5" t="s">
        <v>618</v>
      </c>
      <c r="S62" s="28"/>
      <c r="T62" s="4"/>
      <c r="U62" s="48"/>
      <c r="V62" s="29"/>
      <c r="W62" s="44"/>
      <c r="X62" s="45"/>
      <c r="Y62" s="40"/>
      <c r="Z62" s="40"/>
      <c r="AA62" s="41"/>
      <c r="AB62" s="45"/>
      <c r="AC62" s="45"/>
    </row>
    <row r="63" spans="2:29" ht="16" x14ac:dyDescent="0.4">
      <c r="B63" s="55">
        <f>ROW() - ROW(Table1[[#Headers],[ID]])</f>
        <v>58</v>
      </c>
      <c r="C63" s="105"/>
      <c r="D63" s="105"/>
      <c r="E63" s="6" t="s">
        <v>577</v>
      </c>
      <c r="F63" s="52" t="s">
        <v>463</v>
      </c>
      <c r="G63" s="6" t="s">
        <v>626</v>
      </c>
      <c r="H63" s="26">
        <v>1</v>
      </c>
      <c r="I63" s="26">
        <v>1</v>
      </c>
      <c r="J63" s="26"/>
      <c r="K63" s="26"/>
      <c r="L63" s="26"/>
      <c r="M63" s="5"/>
      <c r="N63" s="30">
        <v>46156</v>
      </c>
      <c r="O63" s="30"/>
      <c r="P63" s="30"/>
      <c r="Q63" s="50"/>
      <c r="R63" s="5" t="s">
        <v>618</v>
      </c>
      <c r="S63" s="28"/>
      <c r="T63" s="4"/>
      <c r="U63" s="48"/>
      <c r="V63" s="29"/>
      <c r="W63" s="44"/>
      <c r="X63" s="45"/>
      <c r="Y63" s="40"/>
      <c r="Z63" s="40"/>
      <c r="AA63" s="41"/>
      <c r="AB63" s="45"/>
      <c r="AC63" s="45"/>
    </row>
    <row r="64" spans="2:29" ht="16" x14ac:dyDescent="0.4">
      <c r="B64" s="55">
        <f>ROW() - ROW(Table1[[#Headers],[ID]])</f>
        <v>59</v>
      </c>
      <c r="C64" s="105"/>
      <c r="D64" s="105"/>
      <c r="E64" s="6"/>
      <c r="F64" s="52"/>
      <c r="G64" s="6"/>
      <c r="H64" s="26"/>
      <c r="I64" s="26"/>
      <c r="J64" s="26"/>
      <c r="K64" s="26"/>
      <c r="L64" s="26"/>
      <c r="M64" s="5"/>
      <c r="N64" s="30"/>
      <c r="O64" s="30"/>
      <c r="P64" s="30"/>
      <c r="Q64" s="50"/>
      <c r="R64" s="5" t="s">
        <v>618</v>
      </c>
      <c r="S64" s="28"/>
      <c r="T64" s="4"/>
      <c r="U64" s="48"/>
      <c r="V64" s="29"/>
      <c r="W64" s="44"/>
      <c r="X64" s="45"/>
      <c r="Y64" s="40"/>
      <c r="Z64" s="40"/>
      <c r="AA64" s="41"/>
      <c r="AB64" s="45"/>
      <c r="AC64" s="45"/>
    </row>
    <row r="65" spans="2:29" ht="16" x14ac:dyDescent="0.4">
      <c r="B65" s="55">
        <f>ROW() - ROW(Table1[[#Headers],[ID]])</f>
        <v>60</v>
      </c>
      <c r="C65" s="105"/>
      <c r="D65" s="105"/>
      <c r="E65" s="6"/>
      <c r="F65" s="52"/>
      <c r="G65" s="6"/>
      <c r="H65" s="26"/>
      <c r="I65" s="26"/>
      <c r="J65" s="26"/>
      <c r="K65" s="26"/>
      <c r="L65" s="26"/>
      <c r="M65" s="5"/>
      <c r="N65" s="30"/>
      <c r="O65" s="30"/>
      <c r="P65" s="30"/>
      <c r="Q65" s="50"/>
      <c r="R65" s="5" t="s">
        <v>618</v>
      </c>
      <c r="S65" s="28"/>
      <c r="T65" s="4"/>
      <c r="U65" s="48"/>
      <c r="V65" s="29"/>
      <c r="W65" s="44"/>
      <c r="X65" s="45"/>
      <c r="Y65" s="40"/>
      <c r="Z65" s="40"/>
      <c r="AA65" s="41"/>
      <c r="AB65" s="45"/>
      <c r="AC65" s="45"/>
    </row>
    <row r="66" spans="2:29" ht="16" x14ac:dyDescent="0.4">
      <c r="B66" s="55">
        <f>ROW() - ROW(Table1[[#Headers],[ID]])</f>
        <v>61</v>
      </c>
      <c r="C66" s="105"/>
      <c r="D66" s="105"/>
      <c r="E66" s="6"/>
      <c r="F66" s="52"/>
      <c r="G66" s="6"/>
      <c r="H66" s="26"/>
      <c r="I66" s="26"/>
      <c r="J66" s="26"/>
      <c r="K66" s="26"/>
      <c r="L66" s="26"/>
      <c r="M66" s="5"/>
      <c r="N66" s="30"/>
      <c r="O66" s="30"/>
      <c r="P66" s="30"/>
      <c r="Q66" s="50"/>
      <c r="R66" s="5" t="s">
        <v>618</v>
      </c>
      <c r="S66" s="28"/>
      <c r="T66" s="4"/>
      <c r="U66" s="48"/>
      <c r="V66" s="29"/>
      <c r="W66" s="44"/>
      <c r="X66" s="45"/>
      <c r="Y66" s="40"/>
      <c r="Z66" s="40"/>
      <c r="AA66" s="41"/>
      <c r="AB66" s="45"/>
      <c r="AC66" s="45"/>
    </row>
    <row r="67" spans="2:29" ht="16" x14ac:dyDescent="0.4">
      <c r="B67" s="55">
        <f>ROW() - ROW(Table1[[#Headers],[ID]])</f>
        <v>62</v>
      </c>
      <c r="C67" s="105"/>
      <c r="D67" s="105"/>
      <c r="E67" s="6"/>
      <c r="F67" s="52"/>
      <c r="G67" s="6"/>
      <c r="H67" s="26"/>
      <c r="I67" s="26"/>
      <c r="J67" s="26"/>
      <c r="K67" s="26"/>
      <c r="L67" s="26"/>
      <c r="M67" s="5"/>
      <c r="N67" s="30"/>
      <c r="O67" s="30"/>
      <c r="P67" s="30"/>
      <c r="Q67" s="50"/>
      <c r="R67" s="5" t="s">
        <v>618</v>
      </c>
      <c r="S67" s="28"/>
      <c r="T67" s="4"/>
      <c r="U67" s="48"/>
      <c r="V67" s="29"/>
      <c r="W67" s="44"/>
      <c r="X67" s="45"/>
      <c r="Y67" s="40"/>
      <c r="Z67" s="40"/>
      <c r="AA67" s="41"/>
      <c r="AB67" s="45"/>
      <c r="AC67" s="45"/>
    </row>
    <row r="68" spans="2:29" ht="16" x14ac:dyDescent="0.4">
      <c r="B68" s="55">
        <f>ROW() - ROW(Table1[[#Headers],[ID]])</f>
        <v>63</v>
      </c>
      <c r="C68" s="105"/>
      <c r="D68" s="105"/>
      <c r="E68" s="6"/>
      <c r="F68" s="52"/>
      <c r="G68" s="6"/>
      <c r="H68" s="26"/>
      <c r="I68" s="26"/>
      <c r="J68" s="26"/>
      <c r="K68" s="26"/>
      <c r="L68" s="26"/>
      <c r="M68" s="5"/>
      <c r="N68" s="30"/>
      <c r="O68" s="30"/>
      <c r="P68" s="30"/>
      <c r="Q68" s="50"/>
      <c r="R68" s="5" t="s">
        <v>618</v>
      </c>
      <c r="S68" s="28"/>
      <c r="T68" s="4"/>
      <c r="U68" s="48"/>
      <c r="V68" s="29"/>
      <c r="W68" s="44"/>
      <c r="X68" s="45"/>
      <c r="Y68" s="40"/>
      <c r="Z68" s="40"/>
      <c r="AA68" s="41"/>
      <c r="AB68" s="45"/>
      <c r="AC68" s="45"/>
    </row>
    <row r="69" spans="2:29" ht="16" x14ac:dyDescent="0.4">
      <c r="B69" s="55">
        <f>ROW() - ROW(Table1[[#Headers],[ID]])</f>
        <v>64</v>
      </c>
      <c r="C69" s="105"/>
      <c r="D69" s="105"/>
      <c r="E69" s="6"/>
      <c r="F69" s="52"/>
      <c r="G69" s="6"/>
      <c r="H69" s="26"/>
      <c r="I69" s="26"/>
      <c r="J69" s="26"/>
      <c r="K69" s="26"/>
      <c r="L69" s="26"/>
      <c r="M69" s="5"/>
      <c r="N69" s="26"/>
      <c r="O69" s="30"/>
      <c r="P69" s="26"/>
      <c r="Q69" s="50"/>
      <c r="R69" s="5" t="s">
        <v>618</v>
      </c>
      <c r="S69" s="47"/>
      <c r="T69" s="4"/>
      <c r="U69" s="48"/>
      <c r="V69" s="29"/>
      <c r="W69" s="44"/>
      <c r="X69" s="45"/>
      <c r="Y69" s="40"/>
      <c r="Z69" s="40"/>
      <c r="AA69" s="41"/>
      <c r="AB69" s="45"/>
      <c r="AC69" s="45"/>
    </row>
    <row r="70" spans="2:29" ht="16" x14ac:dyDescent="0.4">
      <c r="B70" s="55">
        <f>ROW() - ROW(Table1[[#Headers],[ID]])</f>
        <v>65</v>
      </c>
      <c r="C70" s="105"/>
      <c r="D70" s="105"/>
      <c r="E70" s="6"/>
      <c r="F70" s="52"/>
      <c r="G70" s="6"/>
      <c r="H70" s="26"/>
      <c r="I70" s="26"/>
      <c r="J70" s="26"/>
      <c r="K70" s="26"/>
      <c r="L70" s="26"/>
      <c r="M70" s="5"/>
      <c r="N70" s="30"/>
      <c r="O70" s="30"/>
      <c r="P70" s="30"/>
      <c r="Q70" s="50"/>
      <c r="R70" s="5" t="s">
        <v>618</v>
      </c>
      <c r="S70" s="28"/>
      <c r="T70" s="4"/>
      <c r="U70" s="48"/>
      <c r="V70" s="29"/>
      <c r="W70" s="44"/>
      <c r="X70" s="45"/>
      <c r="Y70" s="40"/>
      <c r="Z70" s="40"/>
      <c r="AA70" s="41"/>
      <c r="AB70" s="45"/>
      <c r="AC70" s="45"/>
    </row>
    <row r="71" spans="2:29" ht="16" x14ac:dyDescent="0.4">
      <c r="B71" s="55">
        <f>ROW() - ROW(Table1[[#Headers],[ID]])</f>
        <v>66</v>
      </c>
      <c r="C71" s="105"/>
      <c r="D71" s="105"/>
      <c r="E71" s="6"/>
      <c r="F71" s="52"/>
      <c r="G71" s="6"/>
      <c r="H71" s="26"/>
      <c r="I71" s="26"/>
      <c r="J71" s="26"/>
      <c r="K71" s="26"/>
      <c r="L71" s="26"/>
      <c r="M71" s="5"/>
      <c r="N71" s="30"/>
      <c r="O71" s="30"/>
      <c r="P71" s="30"/>
      <c r="Q71" s="50"/>
      <c r="R71" s="5" t="s">
        <v>618</v>
      </c>
      <c r="S71" s="28"/>
      <c r="T71" s="4"/>
      <c r="U71" s="48"/>
      <c r="V71" s="29"/>
      <c r="W71" s="44"/>
      <c r="X71" s="45"/>
      <c r="Y71" s="40"/>
      <c r="Z71" s="40"/>
      <c r="AA71" s="41"/>
      <c r="AB71" s="45"/>
      <c r="AC71" s="45"/>
    </row>
    <row r="72" spans="2:29" ht="16" x14ac:dyDescent="0.4">
      <c r="B72" s="55">
        <f>ROW() - ROW(Table1[[#Headers],[ID]])</f>
        <v>67</v>
      </c>
      <c r="C72" s="105"/>
      <c r="D72" s="105"/>
      <c r="E72" s="6"/>
      <c r="F72" s="52"/>
      <c r="G72" s="6"/>
      <c r="H72" s="26"/>
      <c r="I72" s="26"/>
      <c r="J72" s="26"/>
      <c r="K72" s="26"/>
      <c r="L72" s="26"/>
      <c r="M72" s="5"/>
      <c r="N72" s="30"/>
      <c r="O72" s="30"/>
      <c r="P72" s="30"/>
      <c r="Q72" s="50"/>
      <c r="R72" s="5" t="s">
        <v>618</v>
      </c>
      <c r="S72" s="28"/>
      <c r="T72" s="4"/>
      <c r="U72" s="48"/>
      <c r="V72" s="29"/>
      <c r="W72" s="44"/>
      <c r="X72" s="45"/>
      <c r="Y72" s="40"/>
      <c r="Z72" s="40"/>
      <c r="AA72" s="41"/>
      <c r="AB72" s="45"/>
      <c r="AC72" s="45"/>
    </row>
    <row r="73" spans="2:29" ht="16" x14ac:dyDescent="0.4">
      <c r="B73" s="55">
        <f>ROW() - ROW(Table1[[#Headers],[ID]])</f>
        <v>68</v>
      </c>
      <c r="C73" s="105"/>
      <c r="D73" s="105"/>
      <c r="E73" s="6"/>
      <c r="F73" s="52"/>
      <c r="G73" s="6"/>
      <c r="H73" s="26"/>
      <c r="I73" s="26"/>
      <c r="J73" s="26"/>
      <c r="K73" s="26"/>
      <c r="L73" s="26"/>
      <c r="M73" s="5"/>
      <c r="N73" s="30"/>
      <c r="O73" s="30"/>
      <c r="P73" s="30"/>
      <c r="Q73" s="50"/>
      <c r="R73" s="5" t="s">
        <v>618</v>
      </c>
      <c r="S73" s="28"/>
      <c r="T73" s="4"/>
      <c r="U73" s="48"/>
      <c r="V73" s="29"/>
      <c r="W73" s="44"/>
      <c r="X73" s="45"/>
      <c r="Y73" s="40"/>
      <c r="Z73" s="40"/>
      <c r="AA73" s="41"/>
      <c r="AB73" s="45"/>
      <c r="AC73" s="45"/>
    </row>
    <row r="74" spans="2:29" ht="18.5" x14ac:dyDescent="0.4">
      <c r="B74" s="55">
        <f>ROW() - ROW(Table1[[#Headers],[ID]])</f>
        <v>69</v>
      </c>
      <c r="C74" s="105"/>
      <c r="D74" s="105"/>
      <c r="E74" s="33"/>
      <c r="F74" s="52"/>
      <c r="G74" s="33"/>
      <c r="H74" s="57"/>
      <c r="I74" s="35"/>
      <c r="J74" s="35"/>
      <c r="K74" s="35"/>
      <c r="L74" s="35"/>
      <c r="M74" s="34"/>
      <c r="N74" s="58"/>
      <c r="O74" s="58"/>
      <c r="P74" s="58"/>
      <c r="Q74" s="36"/>
      <c r="R74" s="5" t="s">
        <v>618</v>
      </c>
      <c r="S74" s="37"/>
      <c r="T74" s="38"/>
      <c r="U74" s="56"/>
      <c r="V74" s="39"/>
      <c r="W74" s="59"/>
      <c r="X74" s="60"/>
      <c r="Y74" s="61"/>
      <c r="Z74" s="61"/>
      <c r="AA74" s="62"/>
      <c r="AB74" s="60"/>
      <c r="AC74" s="60"/>
    </row>
    <row r="75" spans="2:29" ht="18.5" x14ac:dyDescent="0.4">
      <c r="B75" s="55">
        <f>ROW() - ROW(Table1[[#Headers],[ID]])</f>
        <v>70</v>
      </c>
      <c r="C75" s="105"/>
      <c r="D75" s="105"/>
      <c r="E75" s="6"/>
      <c r="F75" s="53"/>
      <c r="G75" s="66"/>
      <c r="H75" s="26"/>
      <c r="I75" s="26"/>
      <c r="J75" s="25"/>
      <c r="K75" s="25"/>
      <c r="L75" s="26"/>
      <c r="M75" s="5"/>
      <c r="N75" s="26"/>
      <c r="O75" s="26"/>
      <c r="P75" s="26"/>
      <c r="Q75" s="27"/>
      <c r="R75" s="5" t="s">
        <v>618</v>
      </c>
      <c r="S75" s="28"/>
      <c r="T75" s="4"/>
      <c r="U75" s="48"/>
      <c r="V75" s="29"/>
      <c r="W75" s="44"/>
      <c r="X75" s="45"/>
      <c r="Y75" s="40"/>
      <c r="Z75" s="40"/>
      <c r="AA75" s="41"/>
      <c r="AB75" s="45"/>
      <c r="AC75" s="45"/>
    </row>
    <row r="76" spans="2:29" ht="18.5" x14ac:dyDescent="0.4">
      <c r="B76" s="55">
        <f>ROW() - ROW(Table1[[#Headers],[ID]])</f>
        <v>71</v>
      </c>
      <c r="C76" s="105"/>
      <c r="D76" s="105"/>
      <c r="E76" s="6"/>
      <c r="F76" s="53"/>
      <c r="G76" s="66"/>
      <c r="H76" s="26"/>
      <c r="I76" s="26"/>
      <c r="J76" s="25"/>
      <c r="K76" s="25"/>
      <c r="L76" s="26"/>
      <c r="M76" s="5"/>
      <c r="N76" s="26"/>
      <c r="O76" s="26"/>
      <c r="P76" s="26"/>
      <c r="Q76" s="27"/>
      <c r="R76" s="5" t="s">
        <v>618</v>
      </c>
      <c r="S76" s="28"/>
      <c r="T76" s="4"/>
      <c r="U76" s="48"/>
      <c r="V76" s="29"/>
      <c r="W76" s="44"/>
      <c r="X76" s="45"/>
      <c r="Y76" s="40"/>
      <c r="Z76" s="40"/>
      <c r="AA76" s="41"/>
      <c r="AB76" s="45"/>
      <c r="AC76" s="45"/>
    </row>
    <row r="77" spans="2:29" ht="18.5" x14ac:dyDescent="0.4">
      <c r="B77" s="55">
        <f>ROW() - ROW(Table1[[#Headers],[ID]])</f>
        <v>72</v>
      </c>
      <c r="C77" s="105"/>
      <c r="D77" s="105"/>
      <c r="E77" s="6"/>
      <c r="F77" s="53"/>
      <c r="G77" s="66"/>
      <c r="H77" s="26"/>
      <c r="I77" s="26"/>
      <c r="J77" s="25"/>
      <c r="K77" s="25"/>
      <c r="L77" s="26"/>
      <c r="M77" s="5"/>
      <c r="N77" s="26"/>
      <c r="O77" s="26"/>
      <c r="P77" s="26"/>
      <c r="Q77" s="27"/>
      <c r="R77" s="5" t="s">
        <v>618</v>
      </c>
      <c r="S77" s="28"/>
      <c r="T77" s="4"/>
      <c r="U77" s="48"/>
      <c r="V77" s="29"/>
      <c r="W77" s="44"/>
      <c r="X77" s="45"/>
      <c r="Y77" s="40"/>
      <c r="Z77" s="40"/>
      <c r="AA77" s="41"/>
      <c r="AB77" s="45"/>
      <c r="AC77" s="45"/>
    </row>
    <row r="78" spans="2:29" ht="18.5" x14ac:dyDescent="0.4">
      <c r="B78" s="55">
        <f>ROW() - ROW(Table1[[#Headers],[ID]])</f>
        <v>73</v>
      </c>
      <c r="C78" s="105"/>
      <c r="D78" s="105"/>
      <c r="E78" s="6"/>
      <c r="F78" s="53"/>
      <c r="G78" s="66"/>
      <c r="H78" s="26"/>
      <c r="I78" s="26"/>
      <c r="J78" s="25"/>
      <c r="K78" s="25"/>
      <c r="L78" s="26"/>
      <c r="M78" s="5"/>
      <c r="N78" s="26"/>
      <c r="O78" s="26"/>
      <c r="P78" s="26"/>
      <c r="Q78" s="27"/>
      <c r="R78" s="5" t="s">
        <v>618</v>
      </c>
      <c r="S78" s="28"/>
      <c r="T78" s="4"/>
      <c r="U78" s="48"/>
      <c r="V78" s="29"/>
      <c r="W78" s="44"/>
      <c r="X78" s="45"/>
      <c r="Y78" s="40"/>
      <c r="Z78" s="40"/>
      <c r="AA78" s="41"/>
      <c r="AB78" s="45"/>
      <c r="AC78" s="45"/>
    </row>
    <row r="79" spans="2:29" ht="18.5" x14ac:dyDescent="0.4">
      <c r="B79" s="55">
        <f>ROW() - ROW(Table1[[#Headers],[ID]])</f>
        <v>74</v>
      </c>
      <c r="C79" s="105"/>
      <c r="D79" s="105"/>
      <c r="E79" s="6"/>
      <c r="F79" s="53"/>
      <c r="G79" s="66"/>
      <c r="H79" s="26"/>
      <c r="I79" s="26"/>
      <c r="J79" s="25"/>
      <c r="K79" s="25"/>
      <c r="L79" s="26"/>
      <c r="M79" s="5"/>
      <c r="N79" s="26"/>
      <c r="O79" s="26"/>
      <c r="P79" s="26"/>
      <c r="Q79" s="27"/>
      <c r="R79" s="5" t="s">
        <v>618</v>
      </c>
      <c r="S79" s="28"/>
      <c r="T79" s="4"/>
      <c r="U79" s="48"/>
      <c r="V79" s="29"/>
      <c r="W79" s="44"/>
      <c r="X79" s="45"/>
      <c r="Y79" s="40"/>
      <c r="Z79" s="40"/>
      <c r="AA79" s="41"/>
      <c r="AB79" s="45"/>
      <c r="AC79" s="45"/>
    </row>
    <row r="80" spans="2:29" ht="18.5" x14ac:dyDescent="0.4">
      <c r="B80" s="55">
        <f>ROW() - ROW(Table1[[#Headers],[ID]])</f>
        <v>75</v>
      </c>
      <c r="C80" s="105"/>
      <c r="D80" s="105"/>
      <c r="E80" s="6"/>
      <c r="F80" s="53"/>
      <c r="G80" s="66"/>
      <c r="H80" s="26"/>
      <c r="I80" s="26"/>
      <c r="J80" s="25"/>
      <c r="K80" s="25"/>
      <c r="L80" s="26"/>
      <c r="M80" s="5"/>
      <c r="N80" s="26"/>
      <c r="O80" s="26"/>
      <c r="P80" s="26"/>
      <c r="Q80" s="27"/>
      <c r="R80" s="5" t="s">
        <v>618</v>
      </c>
      <c r="S80" s="28"/>
      <c r="T80" s="4"/>
      <c r="U80" s="48"/>
      <c r="V80" s="29"/>
      <c r="W80" s="44"/>
      <c r="X80" s="45"/>
      <c r="Y80" s="40"/>
      <c r="Z80" s="40"/>
      <c r="AA80" s="41"/>
      <c r="AB80" s="45"/>
      <c r="AC80" s="45"/>
    </row>
    <row r="81" spans="2:29" ht="18.5" x14ac:dyDescent="0.4">
      <c r="B81" s="55">
        <f>ROW() - ROW(Table1[[#Headers],[ID]])</f>
        <v>76</v>
      </c>
      <c r="C81" s="105"/>
      <c r="D81" s="105"/>
      <c r="E81" s="6"/>
      <c r="F81" s="53"/>
      <c r="G81" s="66"/>
      <c r="H81" s="26"/>
      <c r="I81" s="26"/>
      <c r="J81" s="25"/>
      <c r="K81" s="25"/>
      <c r="L81" s="26"/>
      <c r="M81" s="5"/>
      <c r="N81" s="26"/>
      <c r="O81" s="26"/>
      <c r="P81" s="26"/>
      <c r="Q81" s="27"/>
      <c r="R81" s="5" t="s">
        <v>618</v>
      </c>
      <c r="S81" s="28"/>
      <c r="T81" s="4"/>
      <c r="U81" s="48"/>
      <c r="V81" s="29"/>
      <c r="W81" s="44"/>
      <c r="X81" s="45"/>
      <c r="Y81" s="40"/>
      <c r="Z81" s="40"/>
      <c r="AA81" s="41"/>
      <c r="AB81" s="45"/>
      <c r="AC81" s="45"/>
    </row>
    <row r="82" spans="2:29" ht="18.5" x14ac:dyDescent="0.4">
      <c r="B82" s="55">
        <f>ROW() - ROW(Table1[[#Headers],[ID]])</f>
        <v>77</v>
      </c>
      <c r="C82" s="105"/>
      <c r="D82" s="105"/>
      <c r="E82" s="6"/>
      <c r="F82" s="53"/>
      <c r="G82" s="66"/>
      <c r="H82" s="26"/>
      <c r="I82" s="26"/>
      <c r="J82" s="25"/>
      <c r="K82" s="25"/>
      <c r="L82" s="26"/>
      <c r="M82" s="5"/>
      <c r="N82" s="26"/>
      <c r="O82" s="26"/>
      <c r="P82" s="26"/>
      <c r="Q82" s="27"/>
      <c r="R82" s="5" t="s">
        <v>618</v>
      </c>
      <c r="S82" s="28"/>
      <c r="T82" s="4"/>
      <c r="U82" s="48"/>
      <c r="V82" s="29"/>
      <c r="W82" s="44"/>
      <c r="X82" s="45"/>
      <c r="Y82" s="40"/>
      <c r="Z82" s="40"/>
      <c r="AA82" s="41"/>
      <c r="AB82" s="45"/>
      <c r="AC82" s="45"/>
    </row>
    <row r="83" spans="2:29" ht="18.5" x14ac:dyDescent="0.4">
      <c r="B83" s="55">
        <f>ROW() - ROW(Table1[[#Headers],[ID]])</f>
        <v>78</v>
      </c>
      <c r="C83" s="105"/>
      <c r="D83" s="105"/>
      <c r="E83" s="6"/>
      <c r="F83" s="53"/>
      <c r="G83" s="66"/>
      <c r="H83" s="26"/>
      <c r="I83" s="26"/>
      <c r="J83" s="25"/>
      <c r="K83" s="25"/>
      <c r="L83" s="26"/>
      <c r="M83" s="5"/>
      <c r="N83" s="26"/>
      <c r="O83" s="26"/>
      <c r="P83" s="26"/>
      <c r="Q83" s="27"/>
      <c r="R83" s="5" t="s">
        <v>618</v>
      </c>
      <c r="S83" s="28"/>
      <c r="T83" s="4"/>
      <c r="U83" s="48"/>
      <c r="V83" s="29"/>
      <c r="W83" s="44"/>
      <c r="X83" s="45"/>
      <c r="Y83" s="40"/>
      <c r="Z83" s="40"/>
      <c r="AA83" s="41"/>
      <c r="AB83" s="45"/>
      <c r="AC83" s="45"/>
    </row>
    <row r="84" spans="2:29" ht="18.5" x14ac:dyDescent="0.4">
      <c r="B84" s="55">
        <f>ROW() - ROW(Table1[[#Headers],[ID]])</f>
        <v>79</v>
      </c>
      <c r="C84" s="105"/>
      <c r="D84" s="105"/>
      <c r="E84" s="6"/>
      <c r="F84" s="53"/>
      <c r="G84" s="66"/>
      <c r="H84" s="26"/>
      <c r="I84" s="26"/>
      <c r="J84" s="25"/>
      <c r="K84" s="25"/>
      <c r="L84" s="26"/>
      <c r="M84" s="5"/>
      <c r="N84" s="26"/>
      <c r="O84" s="26"/>
      <c r="P84" s="26"/>
      <c r="Q84" s="27"/>
      <c r="R84" s="5" t="s">
        <v>618</v>
      </c>
      <c r="S84" s="28"/>
      <c r="T84" s="4"/>
      <c r="U84" s="48"/>
      <c r="V84" s="29"/>
      <c r="W84" s="44"/>
      <c r="X84" s="45"/>
      <c r="Y84" s="40"/>
      <c r="Z84" s="40"/>
      <c r="AA84" s="41"/>
      <c r="AB84" s="45"/>
      <c r="AC84" s="45"/>
    </row>
    <row r="85" spans="2:29" ht="18.5" x14ac:dyDescent="0.4">
      <c r="B85" s="55">
        <f>ROW() - ROW(Table1[[#Headers],[ID]])</f>
        <v>80</v>
      </c>
      <c r="C85" s="105"/>
      <c r="D85" s="105"/>
      <c r="E85" s="6"/>
      <c r="F85" s="53"/>
      <c r="G85" s="66"/>
      <c r="H85" s="26"/>
      <c r="I85" s="26"/>
      <c r="J85" s="25"/>
      <c r="K85" s="25"/>
      <c r="L85" s="26"/>
      <c r="M85" s="5"/>
      <c r="N85" s="26"/>
      <c r="O85" s="26"/>
      <c r="P85" s="26"/>
      <c r="Q85" s="27"/>
      <c r="R85" s="5" t="s">
        <v>618</v>
      </c>
      <c r="S85" s="28"/>
      <c r="T85" s="4"/>
      <c r="U85" s="48"/>
      <c r="V85" s="29"/>
      <c r="W85" s="44"/>
      <c r="X85" s="45"/>
      <c r="Y85" s="40"/>
      <c r="Z85" s="40"/>
      <c r="AA85" s="41"/>
      <c r="AB85" s="45"/>
      <c r="AC85" s="45"/>
    </row>
    <row r="86" spans="2:29" ht="18.5" x14ac:dyDescent="0.4">
      <c r="B86" s="55">
        <f>ROW() - ROW(Table1[[#Headers],[ID]])</f>
        <v>81</v>
      </c>
      <c r="C86" s="105"/>
      <c r="D86" s="105"/>
      <c r="E86" s="6"/>
      <c r="F86" s="53"/>
      <c r="G86" s="66"/>
      <c r="H86" s="26"/>
      <c r="I86" s="26"/>
      <c r="J86" s="25"/>
      <c r="K86" s="25"/>
      <c r="L86" s="26"/>
      <c r="M86" s="5"/>
      <c r="N86" s="26"/>
      <c r="O86" s="26"/>
      <c r="P86" s="26"/>
      <c r="Q86" s="27"/>
      <c r="R86" s="5" t="s">
        <v>618</v>
      </c>
      <c r="S86" s="28"/>
      <c r="T86" s="4"/>
      <c r="U86" s="48"/>
      <c r="V86" s="29"/>
      <c r="W86" s="44"/>
      <c r="X86" s="45"/>
      <c r="Y86" s="40"/>
      <c r="Z86" s="40"/>
      <c r="AA86" s="41"/>
      <c r="AB86" s="45"/>
      <c r="AC86" s="45"/>
    </row>
    <row r="87" spans="2:29" ht="18.5" x14ac:dyDescent="0.4">
      <c r="B87" s="55">
        <f>ROW() - ROW(Table1[[#Headers],[ID]])</f>
        <v>82</v>
      </c>
      <c r="C87" s="105"/>
      <c r="D87" s="105"/>
      <c r="E87" s="6"/>
      <c r="F87" s="53"/>
      <c r="G87" s="66"/>
      <c r="H87" s="26"/>
      <c r="I87" s="26"/>
      <c r="J87" s="25"/>
      <c r="K87" s="25"/>
      <c r="L87" s="26"/>
      <c r="M87" s="5"/>
      <c r="N87" s="26"/>
      <c r="O87" s="26"/>
      <c r="P87" s="26"/>
      <c r="Q87" s="27"/>
      <c r="R87" s="5" t="s">
        <v>618</v>
      </c>
      <c r="S87" s="28"/>
      <c r="T87" s="4"/>
      <c r="U87" s="48"/>
      <c r="V87" s="29"/>
      <c r="W87" s="44"/>
      <c r="X87" s="45"/>
      <c r="Y87" s="40"/>
      <c r="Z87" s="40"/>
      <c r="AA87" s="41"/>
      <c r="AB87" s="45"/>
      <c r="AC87" s="45"/>
    </row>
    <row r="88" spans="2:29" ht="18.5" x14ac:dyDescent="0.4">
      <c r="B88" s="55">
        <f>ROW() - ROW(Table1[[#Headers],[ID]])</f>
        <v>83</v>
      </c>
      <c r="C88" s="105"/>
      <c r="D88" s="105"/>
      <c r="E88" s="6"/>
      <c r="F88" s="53"/>
      <c r="G88" s="66"/>
      <c r="H88" s="26"/>
      <c r="I88" s="26"/>
      <c r="J88" s="25"/>
      <c r="K88" s="25"/>
      <c r="L88" s="26"/>
      <c r="M88" s="5"/>
      <c r="N88" s="26"/>
      <c r="O88" s="26"/>
      <c r="P88" s="26"/>
      <c r="Q88" s="27"/>
      <c r="R88" s="5" t="s">
        <v>618</v>
      </c>
      <c r="S88" s="28"/>
      <c r="T88" s="4"/>
      <c r="U88" s="48"/>
      <c r="V88" s="29"/>
      <c r="W88" s="44"/>
      <c r="X88" s="45"/>
      <c r="Y88" s="40"/>
      <c r="Z88" s="40"/>
      <c r="AA88" s="41"/>
      <c r="AB88" s="45"/>
      <c r="AC88" s="45"/>
    </row>
    <row r="89" spans="2:29" ht="18.5" x14ac:dyDescent="0.4">
      <c r="B89" s="55">
        <f>ROW() - ROW(Table1[[#Headers],[ID]])</f>
        <v>84</v>
      </c>
      <c r="C89" s="105"/>
      <c r="D89" s="105"/>
      <c r="E89" s="6"/>
      <c r="F89" s="53"/>
      <c r="G89" s="66"/>
      <c r="H89" s="26"/>
      <c r="I89" s="26"/>
      <c r="J89" s="25"/>
      <c r="K89" s="25"/>
      <c r="L89" s="26"/>
      <c r="M89" s="5"/>
      <c r="N89" s="26"/>
      <c r="O89" s="26"/>
      <c r="P89" s="26"/>
      <c r="Q89" s="27"/>
      <c r="R89" s="5" t="s">
        <v>618</v>
      </c>
      <c r="S89" s="28"/>
      <c r="T89" s="4"/>
      <c r="U89" s="48"/>
      <c r="V89" s="29"/>
      <c r="W89" s="44"/>
      <c r="X89" s="45"/>
      <c r="Y89" s="40"/>
      <c r="Z89" s="40"/>
      <c r="AA89" s="41"/>
      <c r="AB89" s="45"/>
      <c r="AC89" s="45"/>
    </row>
    <row r="90" spans="2:29" ht="18.5" x14ac:dyDescent="0.4">
      <c r="B90" s="55">
        <f>ROW() - ROW(Table1[[#Headers],[ID]])</f>
        <v>85</v>
      </c>
      <c r="C90" s="105"/>
      <c r="D90" s="105"/>
      <c r="E90" s="6"/>
      <c r="F90" s="53"/>
      <c r="G90" s="66"/>
      <c r="H90" s="26"/>
      <c r="I90" s="26"/>
      <c r="J90" s="25"/>
      <c r="K90" s="25"/>
      <c r="L90" s="26"/>
      <c r="M90" s="5"/>
      <c r="N90" s="26"/>
      <c r="O90" s="26"/>
      <c r="P90" s="26"/>
      <c r="Q90" s="27"/>
      <c r="R90" s="5" t="s">
        <v>618</v>
      </c>
      <c r="S90" s="28"/>
      <c r="T90" s="4"/>
      <c r="U90" s="48"/>
      <c r="V90" s="29"/>
      <c r="W90" s="44"/>
      <c r="X90" s="45"/>
      <c r="Y90" s="40"/>
      <c r="Z90" s="40"/>
      <c r="AA90" s="41"/>
      <c r="AB90" s="45"/>
      <c r="AC90" s="45"/>
    </row>
    <row r="91" spans="2:29" ht="18.5" x14ac:dyDescent="0.4">
      <c r="B91" s="55">
        <f>ROW() - ROW(Table1[[#Headers],[ID]])</f>
        <v>86</v>
      </c>
      <c r="C91" s="105"/>
      <c r="D91" s="105"/>
      <c r="E91" s="6"/>
      <c r="F91" s="53"/>
      <c r="G91" s="66"/>
      <c r="H91" s="26"/>
      <c r="I91" s="26"/>
      <c r="J91" s="25"/>
      <c r="K91" s="25"/>
      <c r="L91" s="26"/>
      <c r="M91" s="5"/>
      <c r="N91" s="26"/>
      <c r="O91" s="26"/>
      <c r="P91" s="26"/>
      <c r="Q91" s="27"/>
      <c r="R91" s="5" t="s">
        <v>618</v>
      </c>
      <c r="S91" s="28"/>
      <c r="T91" s="4"/>
      <c r="U91" s="48"/>
      <c r="V91" s="29"/>
      <c r="W91" s="44"/>
      <c r="X91" s="45"/>
      <c r="Y91" s="40"/>
      <c r="Z91" s="40"/>
      <c r="AA91" s="41"/>
      <c r="AB91" s="45"/>
      <c r="AC91" s="45"/>
    </row>
    <row r="92" spans="2:29" ht="18.5" x14ac:dyDescent="0.4">
      <c r="B92" s="55">
        <f>ROW() - ROW(Table1[[#Headers],[ID]])</f>
        <v>87</v>
      </c>
      <c r="C92" s="105"/>
      <c r="D92" s="105"/>
      <c r="E92" s="6"/>
      <c r="F92" s="53"/>
      <c r="G92" s="66"/>
      <c r="H92" s="26"/>
      <c r="I92" s="26"/>
      <c r="J92" s="25"/>
      <c r="K92" s="25"/>
      <c r="L92" s="26"/>
      <c r="M92" s="5"/>
      <c r="N92" s="26"/>
      <c r="O92" s="26"/>
      <c r="P92" s="26"/>
      <c r="Q92" s="27"/>
      <c r="R92" s="5" t="s">
        <v>618</v>
      </c>
      <c r="S92" s="28"/>
      <c r="T92" s="4"/>
      <c r="U92" s="48"/>
      <c r="V92" s="29"/>
      <c r="W92" s="44"/>
      <c r="X92" s="45"/>
      <c r="Y92" s="40"/>
      <c r="Z92" s="40"/>
      <c r="AA92" s="41"/>
      <c r="AB92" s="45"/>
      <c r="AC92" s="45"/>
    </row>
    <row r="93" spans="2:29" ht="18.5" x14ac:dyDescent="0.4">
      <c r="B93" s="55">
        <f>ROW() - ROW(Table1[[#Headers],[ID]])</f>
        <v>88</v>
      </c>
      <c r="C93" s="105"/>
      <c r="D93" s="105"/>
      <c r="E93" s="6"/>
      <c r="F93" s="53"/>
      <c r="G93" s="66"/>
      <c r="H93" s="26"/>
      <c r="I93" s="26"/>
      <c r="J93" s="25"/>
      <c r="K93" s="25"/>
      <c r="L93" s="26"/>
      <c r="M93" s="5"/>
      <c r="N93" s="26"/>
      <c r="O93" s="26"/>
      <c r="P93" s="26"/>
      <c r="Q93" s="27"/>
      <c r="R93" s="5" t="s">
        <v>618</v>
      </c>
      <c r="S93" s="28"/>
      <c r="T93" s="4"/>
      <c r="U93" s="48"/>
      <c r="V93" s="29"/>
      <c r="W93" s="44"/>
      <c r="X93" s="45"/>
      <c r="Y93" s="40"/>
      <c r="Z93" s="40"/>
      <c r="AA93" s="41"/>
      <c r="AB93" s="45"/>
      <c r="AC93" s="45"/>
    </row>
    <row r="94" spans="2:29" ht="18.5" x14ac:dyDescent="0.4">
      <c r="B94" s="55">
        <f>ROW() - ROW(Table1[[#Headers],[ID]])</f>
        <v>89</v>
      </c>
      <c r="C94" s="105"/>
      <c r="D94" s="105"/>
      <c r="E94" s="6"/>
      <c r="F94" s="53"/>
      <c r="G94" s="66"/>
      <c r="H94" s="26"/>
      <c r="I94" s="26"/>
      <c r="J94" s="25"/>
      <c r="K94" s="25"/>
      <c r="L94" s="26"/>
      <c r="M94" s="5"/>
      <c r="N94" s="26"/>
      <c r="O94" s="26"/>
      <c r="P94" s="26"/>
      <c r="Q94" s="27"/>
      <c r="R94" s="5" t="s">
        <v>618</v>
      </c>
      <c r="S94" s="28"/>
      <c r="T94" s="4"/>
      <c r="U94" s="48"/>
      <c r="V94" s="29"/>
      <c r="W94" s="44"/>
      <c r="X94" s="45"/>
      <c r="Y94" s="40"/>
      <c r="Z94" s="40"/>
      <c r="AA94" s="41"/>
      <c r="AB94" s="45"/>
      <c r="AC94" s="45"/>
    </row>
    <row r="95" spans="2:29" ht="18.5" x14ac:dyDescent="0.4">
      <c r="B95" s="55">
        <f>ROW() - ROW(Table1[[#Headers],[ID]])</f>
        <v>90</v>
      </c>
      <c r="C95" s="105"/>
      <c r="D95" s="105"/>
      <c r="E95" s="6"/>
      <c r="F95" s="53"/>
      <c r="G95" s="66"/>
      <c r="H95" s="26"/>
      <c r="I95" s="26"/>
      <c r="J95" s="25"/>
      <c r="K95" s="25"/>
      <c r="L95" s="26"/>
      <c r="M95" s="5"/>
      <c r="N95" s="26"/>
      <c r="O95" s="26"/>
      <c r="P95" s="26"/>
      <c r="Q95" s="27"/>
      <c r="R95" s="5" t="s">
        <v>618</v>
      </c>
      <c r="S95" s="28"/>
      <c r="T95" s="4"/>
      <c r="U95" s="48"/>
      <c r="V95" s="29"/>
      <c r="W95" s="44"/>
      <c r="X95" s="45"/>
      <c r="Y95" s="40"/>
      <c r="Z95" s="40"/>
      <c r="AA95" s="41"/>
      <c r="AB95" s="45"/>
      <c r="AC95" s="45"/>
    </row>
    <row r="96" spans="2:29" ht="18.5" x14ac:dyDescent="0.4">
      <c r="B96" s="55">
        <f>ROW() - ROW(Table1[[#Headers],[ID]])</f>
        <v>91</v>
      </c>
      <c r="C96" s="105"/>
      <c r="D96" s="105"/>
      <c r="E96" s="6"/>
      <c r="F96" s="53"/>
      <c r="G96" s="66"/>
      <c r="H96" s="26"/>
      <c r="I96" s="26"/>
      <c r="J96" s="25"/>
      <c r="K96" s="25"/>
      <c r="L96" s="26"/>
      <c r="M96" s="5"/>
      <c r="N96" s="26"/>
      <c r="O96" s="26"/>
      <c r="P96" s="26"/>
      <c r="Q96" s="27"/>
      <c r="R96" s="5" t="s">
        <v>618</v>
      </c>
      <c r="S96" s="28"/>
      <c r="T96" s="4"/>
      <c r="U96" s="48"/>
      <c r="V96" s="29"/>
      <c r="W96" s="44"/>
      <c r="X96" s="45"/>
      <c r="Y96" s="40"/>
      <c r="Z96" s="40"/>
      <c r="AA96" s="41"/>
      <c r="AB96" s="45"/>
      <c r="AC96" s="45"/>
    </row>
    <row r="97" spans="2:29" ht="18.5" x14ac:dyDescent="0.4">
      <c r="B97" s="55">
        <f>ROW() - ROW(Table1[[#Headers],[ID]])</f>
        <v>92</v>
      </c>
      <c r="C97" s="105"/>
      <c r="D97" s="105"/>
      <c r="E97" s="6"/>
      <c r="F97" s="53"/>
      <c r="G97" s="66"/>
      <c r="H97" s="26"/>
      <c r="I97" s="26"/>
      <c r="J97" s="25"/>
      <c r="K97" s="25"/>
      <c r="L97" s="26"/>
      <c r="M97" s="5"/>
      <c r="N97" s="26"/>
      <c r="O97" s="26"/>
      <c r="P97" s="26"/>
      <c r="Q97" s="27"/>
      <c r="R97" s="5" t="s">
        <v>618</v>
      </c>
      <c r="S97" s="28"/>
      <c r="T97" s="4"/>
      <c r="U97" s="48"/>
      <c r="V97" s="29"/>
      <c r="W97" s="44"/>
      <c r="X97" s="45"/>
      <c r="Y97" s="40"/>
      <c r="Z97" s="40"/>
      <c r="AA97" s="41"/>
      <c r="AB97" s="45"/>
      <c r="AC97" s="45"/>
    </row>
    <row r="98" spans="2:29" ht="18.5" x14ac:dyDescent="0.4">
      <c r="B98" s="55">
        <f>ROW() - ROW(Table1[[#Headers],[ID]])</f>
        <v>93</v>
      </c>
      <c r="C98" s="105"/>
      <c r="D98" s="105"/>
      <c r="E98" s="6"/>
      <c r="F98" s="53"/>
      <c r="G98" s="66"/>
      <c r="H98" s="26"/>
      <c r="I98" s="26"/>
      <c r="J98" s="25"/>
      <c r="K98" s="25"/>
      <c r="L98" s="26"/>
      <c r="M98" s="5"/>
      <c r="N98" s="26"/>
      <c r="O98" s="26"/>
      <c r="P98" s="26"/>
      <c r="Q98" s="27"/>
      <c r="R98" s="5" t="s">
        <v>618</v>
      </c>
      <c r="S98" s="28"/>
      <c r="T98" s="4"/>
      <c r="U98" s="48"/>
      <c r="V98" s="29"/>
      <c r="W98" s="44"/>
      <c r="X98" s="45"/>
      <c r="Y98" s="40"/>
      <c r="Z98" s="40"/>
      <c r="AA98" s="41"/>
      <c r="AB98" s="45"/>
      <c r="AC98" s="45"/>
    </row>
    <row r="99" spans="2:29" ht="18.5" x14ac:dyDescent="0.4">
      <c r="B99" s="55">
        <f>ROW() - ROW(Table1[[#Headers],[ID]])</f>
        <v>94</v>
      </c>
      <c r="C99" s="105"/>
      <c r="D99" s="105"/>
      <c r="E99" s="6"/>
      <c r="F99" s="53"/>
      <c r="G99" s="66"/>
      <c r="H99" s="26"/>
      <c r="I99" s="26"/>
      <c r="J99" s="25"/>
      <c r="K99" s="25"/>
      <c r="L99" s="26"/>
      <c r="M99" s="5"/>
      <c r="N99" s="26"/>
      <c r="O99" s="26"/>
      <c r="P99" s="26"/>
      <c r="Q99" s="27"/>
      <c r="R99" s="5" t="s">
        <v>618</v>
      </c>
      <c r="S99" s="28"/>
      <c r="T99" s="4"/>
      <c r="U99" s="48"/>
      <c r="V99" s="29"/>
      <c r="W99" s="44"/>
      <c r="X99" s="45"/>
      <c r="Y99" s="40"/>
      <c r="Z99" s="40"/>
      <c r="AA99" s="41"/>
      <c r="AB99" s="45"/>
      <c r="AC99" s="45"/>
    </row>
    <row r="100" spans="2:29" ht="18.5" x14ac:dyDescent="0.4">
      <c r="B100" s="55">
        <f>ROW() - ROW(Table1[[#Headers],[ID]])</f>
        <v>95</v>
      </c>
      <c r="C100" s="105"/>
      <c r="D100" s="105"/>
      <c r="E100" s="6"/>
      <c r="F100" s="53"/>
      <c r="G100" s="66"/>
      <c r="H100" s="26"/>
      <c r="I100" s="26"/>
      <c r="J100" s="25"/>
      <c r="K100" s="25"/>
      <c r="L100" s="26"/>
      <c r="M100" s="5"/>
      <c r="N100" s="26"/>
      <c r="O100" s="26"/>
      <c r="P100" s="26"/>
      <c r="Q100" s="27"/>
      <c r="R100" s="5" t="s">
        <v>618</v>
      </c>
      <c r="S100" s="28"/>
      <c r="T100" s="4"/>
      <c r="U100" s="48"/>
      <c r="V100" s="29"/>
      <c r="W100" s="44"/>
      <c r="X100" s="45"/>
      <c r="Y100" s="40"/>
      <c r="Z100" s="40"/>
      <c r="AA100" s="41"/>
      <c r="AB100" s="45"/>
      <c r="AC100" s="45"/>
    </row>
    <row r="101" spans="2:29" ht="18.5" x14ac:dyDescent="0.4">
      <c r="B101" s="55">
        <f>ROW() - ROW(Table1[[#Headers],[ID]])</f>
        <v>96</v>
      </c>
      <c r="C101" s="105"/>
      <c r="D101" s="105"/>
      <c r="E101" s="6"/>
      <c r="F101" s="53"/>
      <c r="G101" s="66"/>
      <c r="H101" s="26"/>
      <c r="I101" s="26"/>
      <c r="J101" s="25"/>
      <c r="K101" s="25"/>
      <c r="L101" s="26"/>
      <c r="M101" s="5"/>
      <c r="N101" s="30"/>
      <c r="O101" s="26"/>
      <c r="P101" s="26"/>
      <c r="Q101" s="27"/>
      <c r="R101" s="5" t="s">
        <v>618</v>
      </c>
      <c r="S101" s="28"/>
      <c r="T101" s="4"/>
      <c r="U101" s="48"/>
      <c r="V101" s="29"/>
      <c r="W101" s="44"/>
      <c r="X101" s="45"/>
      <c r="Y101" s="40"/>
      <c r="Z101" s="40"/>
      <c r="AA101" s="41"/>
      <c r="AB101" s="45"/>
      <c r="AC101" s="45"/>
    </row>
    <row r="102" spans="2:29" ht="18.5" x14ac:dyDescent="0.4">
      <c r="B102" s="55">
        <f>ROW() - ROW(Table1[[#Headers],[ID]])</f>
        <v>97</v>
      </c>
      <c r="C102" s="105"/>
      <c r="D102" s="105"/>
      <c r="E102" s="6"/>
      <c r="F102" s="53"/>
      <c r="G102" s="66"/>
      <c r="H102" s="26"/>
      <c r="I102" s="26"/>
      <c r="J102" s="25"/>
      <c r="K102" s="25"/>
      <c r="L102" s="26"/>
      <c r="M102" s="5"/>
      <c r="N102" s="30"/>
      <c r="O102" s="26"/>
      <c r="P102" s="26"/>
      <c r="Q102" s="27"/>
      <c r="R102" s="5" t="s">
        <v>618</v>
      </c>
      <c r="S102" s="28"/>
      <c r="T102" s="4"/>
      <c r="U102" s="48"/>
      <c r="V102" s="29"/>
      <c r="W102" s="44"/>
      <c r="X102" s="45"/>
      <c r="Y102" s="40"/>
      <c r="Z102" s="40"/>
      <c r="AA102" s="41"/>
      <c r="AB102" s="45"/>
      <c r="AC102" s="45"/>
    </row>
    <row r="103" spans="2:29" ht="18.5" x14ac:dyDescent="0.4">
      <c r="B103" s="55">
        <f>ROW() - ROW(Table1[[#Headers],[ID]])</f>
        <v>98</v>
      </c>
      <c r="C103" s="105"/>
      <c r="D103" s="105"/>
      <c r="E103" s="6"/>
      <c r="F103" s="53"/>
      <c r="G103" s="66"/>
      <c r="H103" s="26"/>
      <c r="I103" s="26"/>
      <c r="J103" s="25"/>
      <c r="K103" s="25"/>
      <c r="L103" s="26"/>
      <c r="M103" s="5"/>
      <c r="N103" s="26"/>
      <c r="O103" s="26"/>
      <c r="P103" s="26"/>
      <c r="Q103" s="27"/>
      <c r="R103" s="5" t="s">
        <v>618</v>
      </c>
      <c r="S103" s="28"/>
      <c r="T103" s="4"/>
      <c r="U103" s="48"/>
      <c r="V103" s="29"/>
      <c r="W103" s="44"/>
      <c r="X103" s="45"/>
      <c r="Y103" s="40"/>
      <c r="Z103" s="40"/>
      <c r="AA103" s="41"/>
      <c r="AB103" s="45"/>
      <c r="AC103" s="45"/>
    </row>
    <row r="104" spans="2:29" ht="18.5" x14ac:dyDescent="0.4">
      <c r="B104" s="55">
        <f>ROW() - ROW(Table1[[#Headers],[ID]])</f>
        <v>99</v>
      </c>
      <c r="C104" s="105"/>
      <c r="D104" s="105"/>
      <c r="E104" s="6"/>
      <c r="F104" s="53"/>
      <c r="G104" s="66"/>
      <c r="H104" s="26"/>
      <c r="I104" s="26"/>
      <c r="J104" s="25"/>
      <c r="K104" s="25"/>
      <c r="L104" s="26"/>
      <c r="M104" s="5"/>
      <c r="N104" s="26"/>
      <c r="O104" s="26"/>
      <c r="P104" s="26"/>
      <c r="Q104" s="27"/>
      <c r="R104" s="5" t="s">
        <v>618</v>
      </c>
      <c r="S104" s="28"/>
      <c r="T104" s="4"/>
      <c r="U104" s="48"/>
      <c r="V104" s="29"/>
      <c r="W104" s="44"/>
      <c r="X104" s="45"/>
      <c r="Y104" s="40"/>
      <c r="Z104" s="40"/>
      <c r="AA104" s="41"/>
      <c r="AB104" s="45"/>
      <c r="AC104" s="45"/>
    </row>
    <row r="105" spans="2:29" ht="18.5" x14ac:dyDescent="0.4">
      <c r="B105" s="55">
        <f>ROW() - ROW(Table1[[#Headers],[ID]])</f>
        <v>100</v>
      </c>
      <c r="C105" s="105"/>
      <c r="D105" s="105"/>
      <c r="E105" s="6"/>
      <c r="F105" s="53"/>
      <c r="G105" s="66"/>
      <c r="H105" s="26"/>
      <c r="I105" s="26"/>
      <c r="J105" s="25"/>
      <c r="K105" s="25"/>
      <c r="L105" s="26"/>
      <c r="M105" s="5"/>
      <c r="N105" s="26"/>
      <c r="O105" s="26"/>
      <c r="P105" s="26"/>
      <c r="Q105" s="27"/>
      <c r="R105" s="5" t="s">
        <v>618</v>
      </c>
      <c r="S105" s="28"/>
      <c r="T105" s="4"/>
      <c r="U105" s="48"/>
      <c r="V105" s="29"/>
      <c r="W105" s="44"/>
      <c r="X105" s="45"/>
      <c r="Y105" s="40"/>
      <c r="Z105" s="40"/>
      <c r="AA105" s="41"/>
      <c r="AB105" s="45"/>
      <c r="AC105" s="45"/>
    </row>
    <row r="106" spans="2:29" ht="18.5" x14ac:dyDescent="0.4">
      <c r="B106" s="55">
        <f>ROW() - ROW(Table1[[#Headers],[ID]])</f>
        <v>101</v>
      </c>
      <c r="C106" s="105"/>
      <c r="D106" s="105"/>
      <c r="E106" s="6"/>
      <c r="F106" s="53"/>
      <c r="G106" s="66"/>
      <c r="H106" s="26"/>
      <c r="I106" s="26"/>
      <c r="J106" s="25"/>
      <c r="K106" s="25"/>
      <c r="L106" s="26"/>
      <c r="M106" s="5"/>
      <c r="N106" s="26"/>
      <c r="O106" s="26"/>
      <c r="P106" s="26"/>
      <c r="Q106" s="27"/>
      <c r="R106" s="5" t="s">
        <v>618</v>
      </c>
      <c r="S106" s="28"/>
      <c r="T106" s="4"/>
      <c r="U106" s="48"/>
      <c r="V106" s="29"/>
      <c r="W106" s="44"/>
      <c r="X106" s="45"/>
      <c r="Y106" s="40"/>
      <c r="Z106" s="40"/>
      <c r="AA106" s="41"/>
      <c r="AB106" s="45"/>
      <c r="AC106" s="45"/>
    </row>
    <row r="107" spans="2:29" ht="18.5" x14ac:dyDescent="0.4">
      <c r="B107" s="55">
        <f>ROW() - ROW(Table1[[#Headers],[ID]])</f>
        <v>102</v>
      </c>
      <c r="C107" s="105"/>
      <c r="D107" s="105"/>
      <c r="E107" s="6"/>
      <c r="F107" s="53"/>
      <c r="G107" s="66"/>
      <c r="H107" s="26"/>
      <c r="I107" s="26"/>
      <c r="J107" s="25"/>
      <c r="K107" s="25"/>
      <c r="L107" s="26"/>
      <c r="M107" s="5"/>
      <c r="N107" s="26"/>
      <c r="O107" s="26"/>
      <c r="P107" s="26"/>
      <c r="Q107" s="27"/>
      <c r="R107" s="5" t="s">
        <v>618</v>
      </c>
      <c r="S107" s="28"/>
      <c r="T107" s="4"/>
      <c r="U107" s="48"/>
      <c r="V107" s="29"/>
      <c r="W107" s="44"/>
      <c r="X107" s="45"/>
      <c r="Y107" s="40"/>
      <c r="Z107" s="40"/>
      <c r="AA107" s="41"/>
      <c r="AB107" s="45"/>
      <c r="AC107" s="45"/>
    </row>
    <row r="108" spans="2:29" ht="18.5" x14ac:dyDescent="0.4">
      <c r="B108" s="55">
        <f>ROW() - ROW(Table1[[#Headers],[ID]])</f>
        <v>103</v>
      </c>
      <c r="C108" s="105"/>
      <c r="D108" s="105"/>
      <c r="E108" s="6"/>
      <c r="F108" s="53"/>
      <c r="G108" s="66"/>
      <c r="H108" s="26"/>
      <c r="I108" s="26"/>
      <c r="J108" s="25"/>
      <c r="K108" s="25"/>
      <c r="L108" s="26"/>
      <c r="M108" s="5"/>
      <c r="N108" s="26"/>
      <c r="O108" s="26"/>
      <c r="P108" s="26"/>
      <c r="Q108" s="27"/>
      <c r="R108" s="5" t="s">
        <v>618</v>
      </c>
      <c r="S108" s="28"/>
      <c r="T108" s="4"/>
      <c r="U108" s="48"/>
      <c r="V108" s="29"/>
      <c r="W108" s="44"/>
      <c r="X108" s="45"/>
      <c r="Y108" s="40"/>
      <c r="Z108" s="40"/>
      <c r="AA108" s="41"/>
      <c r="AB108" s="45"/>
      <c r="AC108" s="45"/>
    </row>
    <row r="109" spans="2:29" ht="18.5" x14ac:dyDescent="0.4">
      <c r="B109" s="55">
        <f>ROW() - ROW(Table1[[#Headers],[ID]])</f>
        <v>104</v>
      </c>
      <c r="C109" s="105"/>
      <c r="D109" s="105"/>
      <c r="E109" s="6"/>
      <c r="F109" s="53"/>
      <c r="G109" s="66"/>
      <c r="H109" s="26"/>
      <c r="I109" s="26"/>
      <c r="J109" s="25"/>
      <c r="K109" s="25"/>
      <c r="L109" s="26"/>
      <c r="M109" s="5"/>
      <c r="N109" s="26"/>
      <c r="O109" s="26"/>
      <c r="P109" s="26"/>
      <c r="Q109" s="27"/>
      <c r="R109" s="5" t="s">
        <v>618</v>
      </c>
      <c r="S109" s="28"/>
      <c r="T109" s="4"/>
      <c r="U109" s="48"/>
      <c r="V109" s="29"/>
      <c r="W109" s="44"/>
      <c r="X109" s="45"/>
      <c r="Y109" s="40"/>
      <c r="Z109" s="40"/>
      <c r="AA109" s="41"/>
      <c r="AB109" s="45"/>
      <c r="AC109" s="45"/>
    </row>
    <row r="110" spans="2:29" ht="18.5" x14ac:dyDescent="0.4">
      <c r="B110" s="55">
        <f>ROW() - ROW(Table1[[#Headers],[ID]])</f>
        <v>105</v>
      </c>
      <c r="C110" s="105"/>
      <c r="D110" s="105"/>
      <c r="E110" s="6"/>
      <c r="F110" s="53"/>
      <c r="G110" s="66"/>
      <c r="H110" s="26"/>
      <c r="I110" s="26"/>
      <c r="J110" s="25"/>
      <c r="K110" s="25"/>
      <c r="L110" s="26"/>
      <c r="M110" s="5"/>
      <c r="N110" s="26"/>
      <c r="O110" s="26"/>
      <c r="P110" s="26"/>
      <c r="Q110" s="27"/>
      <c r="R110" s="5" t="s">
        <v>618</v>
      </c>
      <c r="S110" s="28"/>
      <c r="T110" s="4"/>
      <c r="U110" s="48"/>
      <c r="V110" s="29"/>
      <c r="W110" s="44"/>
      <c r="X110" s="45"/>
      <c r="Y110" s="40"/>
      <c r="Z110" s="40"/>
      <c r="AA110" s="41"/>
      <c r="AB110" s="45"/>
      <c r="AC110" s="45"/>
    </row>
    <row r="111" spans="2:29" ht="18.5" x14ac:dyDescent="0.4">
      <c r="B111" s="55">
        <f>ROW() - ROW(Table1[[#Headers],[ID]])</f>
        <v>106</v>
      </c>
      <c r="C111" s="105"/>
      <c r="D111" s="105"/>
      <c r="E111" s="6"/>
      <c r="F111" s="53"/>
      <c r="G111" s="66"/>
      <c r="H111" s="26"/>
      <c r="I111" s="26"/>
      <c r="J111" s="25"/>
      <c r="K111" s="25"/>
      <c r="L111" s="26"/>
      <c r="M111" s="5"/>
      <c r="N111" s="26"/>
      <c r="O111" s="26"/>
      <c r="P111" s="26"/>
      <c r="Q111" s="27"/>
      <c r="R111" s="5" t="s">
        <v>618</v>
      </c>
      <c r="S111" s="28"/>
      <c r="T111" s="4"/>
      <c r="U111" s="48"/>
      <c r="V111" s="29"/>
      <c r="W111" s="44"/>
      <c r="X111" s="45"/>
      <c r="Y111" s="40"/>
      <c r="Z111" s="40"/>
      <c r="AA111" s="41"/>
      <c r="AB111" s="45"/>
      <c r="AC111" s="45"/>
    </row>
    <row r="112" spans="2:29" ht="18.5" x14ac:dyDescent="0.4">
      <c r="B112" s="55">
        <f>ROW() - ROW(Table1[[#Headers],[ID]])</f>
        <v>107</v>
      </c>
      <c r="C112" s="105"/>
      <c r="D112" s="105"/>
      <c r="E112" s="6"/>
      <c r="F112" s="53"/>
      <c r="G112" s="66"/>
      <c r="H112" s="26"/>
      <c r="I112" s="26"/>
      <c r="J112" s="25"/>
      <c r="K112" s="25"/>
      <c r="L112" s="26"/>
      <c r="M112" s="5"/>
      <c r="N112" s="26"/>
      <c r="O112" s="26"/>
      <c r="P112" s="26"/>
      <c r="Q112" s="27"/>
      <c r="R112" s="5" t="s">
        <v>618</v>
      </c>
      <c r="S112" s="28"/>
      <c r="T112" s="4"/>
      <c r="U112" s="48"/>
      <c r="V112" s="29"/>
      <c r="W112" s="44"/>
      <c r="X112" s="45"/>
      <c r="Y112" s="40"/>
      <c r="Z112" s="40"/>
      <c r="AA112" s="41"/>
      <c r="AB112" s="45"/>
      <c r="AC112" s="45"/>
    </row>
    <row r="113" spans="2:29" ht="18.5" x14ac:dyDescent="0.4">
      <c r="B113" s="55">
        <f>ROW() - ROW(Table1[[#Headers],[ID]])</f>
        <v>108</v>
      </c>
      <c r="C113" s="105"/>
      <c r="D113" s="105"/>
      <c r="E113" s="6"/>
      <c r="F113" s="53"/>
      <c r="G113" s="66"/>
      <c r="H113" s="26"/>
      <c r="I113" s="26"/>
      <c r="J113" s="25"/>
      <c r="K113" s="25"/>
      <c r="L113" s="26"/>
      <c r="M113" s="5"/>
      <c r="N113" s="26"/>
      <c r="O113" s="26"/>
      <c r="P113" s="26"/>
      <c r="Q113" s="27"/>
      <c r="R113" s="5" t="s">
        <v>618</v>
      </c>
      <c r="S113" s="28"/>
      <c r="T113" s="4"/>
      <c r="U113" s="48"/>
      <c r="V113" s="29"/>
      <c r="W113" s="44"/>
      <c r="X113" s="45"/>
      <c r="Y113" s="40"/>
      <c r="Z113" s="40"/>
      <c r="AA113" s="41"/>
      <c r="AB113" s="45"/>
      <c r="AC113" s="45"/>
    </row>
    <row r="114" spans="2:29" ht="18.5" x14ac:dyDescent="0.4">
      <c r="B114" s="55">
        <f>ROW() - ROW(Table1[[#Headers],[ID]])</f>
        <v>109</v>
      </c>
      <c r="C114" s="105"/>
      <c r="D114" s="105"/>
      <c r="E114" s="6"/>
      <c r="F114" s="53"/>
      <c r="G114" s="66"/>
      <c r="H114" s="26"/>
      <c r="I114" s="26"/>
      <c r="J114" s="25"/>
      <c r="K114" s="25"/>
      <c r="L114" s="26"/>
      <c r="M114" s="5"/>
      <c r="N114" s="26"/>
      <c r="O114" s="26"/>
      <c r="P114" s="26"/>
      <c r="Q114" s="27"/>
      <c r="R114" s="5" t="s">
        <v>618</v>
      </c>
      <c r="S114" s="28"/>
      <c r="T114" s="4"/>
      <c r="U114" s="48"/>
      <c r="V114" s="29"/>
      <c r="W114" s="44"/>
      <c r="X114" s="45"/>
      <c r="Y114" s="40"/>
      <c r="Z114" s="40"/>
      <c r="AA114" s="41"/>
      <c r="AB114" s="45"/>
      <c r="AC114" s="45"/>
    </row>
    <row r="115" spans="2:29" ht="18.5" x14ac:dyDescent="0.4">
      <c r="B115" s="55">
        <f>ROW() - ROW(Table1[[#Headers],[ID]])</f>
        <v>110</v>
      </c>
      <c r="C115" s="105"/>
      <c r="D115" s="105"/>
      <c r="E115" s="6"/>
      <c r="F115" s="53"/>
      <c r="G115" s="66"/>
      <c r="H115" s="26"/>
      <c r="I115" s="26"/>
      <c r="J115" s="25"/>
      <c r="K115" s="25"/>
      <c r="L115" s="26"/>
      <c r="M115" s="5"/>
      <c r="N115" s="26"/>
      <c r="O115" s="26"/>
      <c r="P115" s="26"/>
      <c r="Q115" s="27"/>
      <c r="R115" s="5" t="s">
        <v>618</v>
      </c>
      <c r="S115" s="28"/>
      <c r="T115" s="4"/>
      <c r="U115" s="48"/>
      <c r="V115" s="29"/>
      <c r="W115" s="44"/>
      <c r="X115" s="45"/>
      <c r="Y115" s="40"/>
      <c r="Z115" s="40"/>
      <c r="AA115" s="41"/>
      <c r="AB115" s="45"/>
      <c r="AC115" s="45"/>
    </row>
    <row r="116" spans="2:29" ht="18.5" x14ac:dyDescent="0.4">
      <c r="B116" s="55">
        <f>ROW() - ROW(Table1[[#Headers],[ID]])</f>
        <v>111</v>
      </c>
      <c r="C116" s="105"/>
      <c r="D116" s="105"/>
      <c r="E116" s="6"/>
      <c r="F116" s="53"/>
      <c r="G116" s="66"/>
      <c r="H116" s="26"/>
      <c r="I116" s="26"/>
      <c r="J116" s="25"/>
      <c r="K116" s="25"/>
      <c r="L116" s="26"/>
      <c r="M116" s="5"/>
      <c r="N116" s="26"/>
      <c r="O116" s="26"/>
      <c r="P116" s="26"/>
      <c r="Q116" s="27"/>
      <c r="R116" s="5" t="s">
        <v>618</v>
      </c>
      <c r="S116" s="28"/>
      <c r="T116" s="4"/>
      <c r="U116" s="48"/>
      <c r="V116" s="29"/>
      <c r="W116" s="44"/>
      <c r="X116" s="45"/>
      <c r="Y116" s="40"/>
      <c r="Z116" s="40"/>
      <c r="AA116" s="41"/>
      <c r="AB116" s="45"/>
      <c r="AC116" s="45"/>
    </row>
    <row r="117" spans="2:29" ht="18.5" x14ac:dyDescent="0.4">
      <c r="B117" s="55">
        <f>ROW() - ROW(Table1[[#Headers],[ID]])</f>
        <v>112</v>
      </c>
      <c r="C117" s="105"/>
      <c r="D117" s="105"/>
      <c r="E117" s="6"/>
      <c r="F117" s="53"/>
      <c r="G117" s="66"/>
      <c r="H117" s="26"/>
      <c r="I117" s="26"/>
      <c r="J117" s="25"/>
      <c r="K117" s="25"/>
      <c r="L117" s="26"/>
      <c r="M117" s="5"/>
      <c r="N117" s="26"/>
      <c r="O117" s="26"/>
      <c r="P117" s="26"/>
      <c r="Q117" s="27"/>
      <c r="R117" s="5" t="s">
        <v>618</v>
      </c>
      <c r="S117" s="28"/>
      <c r="T117" s="4"/>
      <c r="U117" s="48"/>
      <c r="V117" s="29"/>
      <c r="W117" s="44"/>
      <c r="X117" s="45"/>
      <c r="Y117" s="40"/>
      <c r="Z117" s="40"/>
      <c r="AA117" s="41"/>
      <c r="AB117" s="45"/>
      <c r="AC117" s="45"/>
    </row>
    <row r="118" spans="2:29" ht="18.5" x14ac:dyDescent="0.4">
      <c r="B118" s="55">
        <f>ROW() - ROW(Table1[[#Headers],[ID]])</f>
        <v>113</v>
      </c>
      <c r="C118" s="105"/>
      <c r="D118" s="105"/>
      <c r="E118" s="6"/>
      <c r="F118" s="53"/>
      <c r="G118" s="66"/>
      <c r="H118" s="26"/>
      <c r="I118" s="26"/>
      <c r="J118" s="25"/>
      <c r="K118" s="25"/>
      <c r="L118" s="26"/>
      <c r="M118" s="5"/>
      <c r="N118" s="26"/>
      <c r="O118" s="26"/>
      <c r="P118" s="26"/>
      <c r="Q118" s="27"/>
      <c r="R118" s="5" t="s">
        <v>618</v>
      </c>
      <c r="S118" s="28"/>
      <c r="T118" s="4"/>
      <c r="U118" s="48"/>
      <c r="V118" s="29"/>
      <c r="W118" s="44"/>
      <c r="X118" s="45"/>
      <c r="Y118" s="40"/>
      <c r="Z118" s="40"/>
      <c r="AA118" s="41"/>
      <c r="AB118" s="45"/>
      <c r="AC118" s="45"/>
    </row>
    <row r="119" spans="2:29" ht="18.5" x14ac:dyDescent="0.4">
      <c r="B119" s="55">
        <f>ROW() - ROW(Table1[[#Headers],[ID]])</f>
        <v>114</v>
      </c>
      <c r="C119" s="105"/>
      <c r="D119" s="105"/>
      <c r="E119" s="6"/>
      <c r="F119" s="53"/>
      <c r="G119" s="66"/>
      <c r="H119" s="26"/>
      <c r="I119" s="26"/>
      <c r="J119" s="25"/>
      <c r="K119" s="25"/>
      <c r="L119" s="26"/>
      <c r="M119" s="5"/>
      <c r="N119" s="26"/>
      <c r="O119" s="26"/>
      <c r="P119" s="26"/>
      <c r="Q119" s="27"/>
      <c r="R119" s="5" t="s">
        <v>618</v>
      </c>
      <c r="S119" s="28"/>
      <c r="T119" s="4"/>
      <c r="U119" s="48"/>
      <c r="V119" s="29"/>
      <c r="W119" s="44"/>
      <c r="X119" s="45"/>
      <c r="Y119" s="40"/>
      <c r="Z119" s="40"/>
      <c r="AA119" s="41"/>
      <c r="AB119" s="45"/>
      <c r="AC119" s="45"/>
    </row>
    <row r="120" spans="2:29" ht="18.5" x14ac:dyDescent="0.4">
      <c r="B120" s="55">
        <f>ROW() - ROW(Table1[[#Headers],[ID]])</f>
        <v>115</v>
      </c>
      <c r="C120" s="105"/>
      <c r="D120" s="105"/>
      <c r="E120" s="6"/>
      <c r="F120" s="53"/>
      <c r="G120" s="66"/>
      <c r="H120" s="26"/>
      <c r="I120" s="26"/>
      <c r="J120" s="25"/>
      <c r="K120" s="25"/>
      <c r="L120" s="26"/>
      <c r="M120" s="5"/>
      <c r="N120" s="26"/>
      <c r="O120" s="26"/>
      <c r="P120" s="26"/>
      <c r="Q120" s="27"/>
      <c r="R120" s="5" t="s">
        <v>618</v>
      </c>
      <c r="S120" s="28"/>
      <c r="T120" s="4"/>
      <c r="U120" s="48"/>
      <c r="V120" s="29"/>
      <c r="W120" s="44"/>
      <c r="X120" s="45"/>
      <c r="Y120" s="40"/>
      <c r="Z120" s="40"/>
      <c r="AA120" s="41"/>
      <c r="AB120" s="45"/>
      <c r="AC120" s="45"/>
    </row>
    <row r="121" spans="2:29" ht="18.5" x14ac:dyDescent="0.4">
      <c r="B121" s="55">
        <f>ROW() - ROW(Table1[[#Headers],[ID]])</f>
        <v>116</v>
      </c>
      <c r="C121" s="105"/>
      <c r="D121" s="105"/>
      <c r="E121" s="6"/>
      <c r="F121" s="53"/>
      <c r="G121" s="66"/>
      <c r="H121" s="26"/>
      <c r="I121" s="26"/>
      <c r="J121" s="25"/>
      <c r="K121" s="25"/>
      <c r="L121" s="26"/>
      <c r="M121" s="5"/>
      <c r="N121" s="26"/>
      <c r="O121" s="26"/>
      <c r="P121" s="26"/>
      <c r="Q121" s="27"/>
      <c r="R121" s="5" t="s">
        <v>618</v>
      </c>
      <c r="S121" s="28"/>
      <c r="T121" s="4"/>
      <c r="U121" s="48"/>
      <c r="V121" s="29"/>
      <c r="W121" s="44"/>
      <c r="X121" s="45"/>
      <c r="Y121" s="40"/>
      <c r="Z121" s="40"/>
      <c r="AA121" s="41"/>
      <c r="AB121" s="45"/>
      <c r="AC121" s="45"/>
    </row>
    <row r="122" spans="2:29" ht="18.5" x14ac:dyDescent="0.4">
      <c r="B122" s="55">
        <f>ROW() - ROW(Table1[[#Headers],[ID]])</f>
        <v>117</v>
      </c>
      <c r="C122" s="105"/>
      <c r="D122" s="105"/>
      <c r="E122" s="6"/>
      <c r="F122" s="53"/>
      <c r="G122" s="66"/>
      <c r="H122" s="26"/>
      <c r="I122" s="26"/>
      <c r="J122" s="25"/>
      <c r="K122" s="25"/>
      <c r="L122" s="26"/>
      <c r="M122" s="5"/>
      <c r="N122" s="26"/>
      <c r="O122" s="26"/>
      <c r="P122" s="26"/>
      <c r="Q122" s="27"/>
      <c r="R122" s="5" t="s">
        <v>618</v>
      </c>
      <c r="S122" s="28"/>
      <c r="T122" s="4"/>
      <c r="U122" s="48"/>
      <c r="V122" s="29"/>
      <c r="W122" s="44"/>
      <c r="X122" s="45"/>
      <c r="Y122" s="40"/>
      <c r="Z122" s="40"/>
      <c r="AA122" s="41"/>
      <c r="AB122" s="45"/>
      <c r="AC122" s="45"/>
    </row>
    <row r="123" spans="2:29" ht="18.5" x14ac:dyDescent="0.4">
      <c r="B123" s="55">
        <f>ROW() - ROW(Table1[[#Headers],[ID]])</f>
        <v>118</v>
      </c>
      <c r="C123" s="105"/>
      <c r="D123" s="105"/>
      <c r="E123" s="6"/>
      <c r="F123" s="53"/>
      <c r="G123" s="66"/>
      <c r="H123" s="26"/>
      <c r="I123" s="26"/>
      <c r="J123" s="25"/>
      <c r="K123" s="25"/>
      <c r="L123" s="26"/>
      <c r="M123" s="5"/>
      <c r="N123" s="26"/>
      <c r="O123" s="26"/>
      <c r="P123" s="26"/>
      <c r="Q123" s="27"/>
      <c r="R123" s="5" t="s">
        <v>618</v>
      </c>
      <c r="S123" s="28"/>
      <c r="T123" s="4"/>
      <c r="U123" s="48"/>
      <c r="V123" s="29"/>
      <c r="W123" s="44"/>
      <c r="X123" s="45"/>
      <c r="Y123" s="40"/>
      <c r="Z123" s="40"/>
      <c r="AA123" s="41"/>
      <c r="AB123" s="45"/>
      <c r="AC123" s="45"/>
    </row>
    <row r="124" spans="2:29" ht="18.5" x14ac:dyDescent="0.4">
      <c r="B124" s="55">
        <f>ROW() - ROW(Table1[[#Headers],[ID]])</f>
        <v>119</v>
      </c>
      <c r="C124" s="105"/>
      <c r="D124" s="105"/>
      <c r="E124" s="6"/>
      <c r="F124" s="53"/>
      <c r="G124" s="66"/>
      <c r="H124" s="26"/>
      <c r="I124" s="26"/>
      <c r="J124" s="25"/>
      <c r="K124" s="25"/>
      <c r="L124" s="26"/>
      <c r="M124" s="5"/>
      <c r="N124" s="26"/>
      <c r="O124" s="26"/>
      <c r="P124" s="26"/>
      <c r="Q124" s="27"/>
      <c r="R124" s="5" t="s">
        <v>618</v>
      </c>
      <c r="S124" s="28"/>
      <c r="T124" s="4"/>
      <c r="U124" s="48"/>
      <c r="V124" s="29"/>
      <c r="W124" s="44"/>
      <c r="X124" s="45"/>
      <c r="Y124" s="40"/>
      <c r="Z124" s="40"/>
      <c r="AA124" s="41"/>
      <c r="AB124" s="45"/>
      <c r="AC124" s="45"/>
    </row>
    <row r="125" spans="2:29" ht="18.5" x14ac:dyDescent="0.4">
      <c r="B125" s="55">
        <f>ROW() - ROW(Table1[[#Headers],[ID]])</f>
        <v>120</v>
      </c>
      <c r="C125" s="105"/>
      <c r="D125" s="105"/>
      <c r="E125" s="6"/>
      <c r="F125" s="53"/>
      <c r="G125" s="66"/>
      <c r="H125" s="26"/>
      <c r="I125" s="26"/>
      <c r="J125" s="25"/>
      <c r="K125" s="25"/>
      <c r="L125" s="26"/>
      <c r="M125" s="5"/>
      <c r="N125" s="26"/>
      <c r="O125" s="26"/>
      <c r="P125" s="26"/>
      <c r="Q125" s="27"/>
      <c r="R125" s="5" t="s">
        <v>618</v>
      </c>
      <c r="S125" s="28"/>
      <c r="T125" s="4"/>
      <c r="U125" s="48"/>
      <c r="V125" s="29"/>
      <c r="W125" s="44"/>
      <c r="X125" s="45"/>
      <c r="Y125" s="40"/>
      <c r="Z125" s="40"/>
      <c r="AA125" s="41"/>
      <c r="AB125" s="45"/>
      <c r="AC125" s="45"/>
    </row>
    <row r="126" spans="2:29" ht="18.5" x14ac:dyDescent="0.4">
      <c r="B126" s="55">
        <f>ROW() - ROW(Table1[[#Headers],[ID]])</f>
        <v>121</v>
      </c>
      <c r="C126" s="105"/>
      <c r="D126" s="105"/>
      <c r="E126" s="6"/>
      <c r="F126" s="53"/>
      <c r="G126" s="66"/>
      <c r="H126" s="26"/>
      <c r="I126" s="26"/>
      <c r="J126" s="25"/>
      <c r="K126" s="25"/>
      <c r="L126" s="26"/>
      <c r="M126" s="5"/>
      <c r="N126" s="26"/>
      <c r="O126" s="26"/>
      <c r="P126" s="26"/>
      <c r="Q126" s="27"/>
      <c r="R126" s="5" t="s">
        <v>618</v>
      </c>
      <c r="S126" s="28"/>
      <c r="T126" s="4"/>
      <c r="U126" s="48"/>
      <c r="V126" s="29"/>
      <c r="W126" s="44"/>
      <c r="X126" s="45"/>
      <c r="Y126" s="40"/>
      <c r="Z126" s="40"/>
      <c r="AA126" s="41"/>
      <c r="AB126" s="45"/>
      <c r="AC126" s="45"/>
    </row>
    <row r="127" spans="2:29" ht="18.5" x14ac:dyDescent="0.4">
      <c r="B127" s="55">
        <f>ROW() - ROW(Table1[[#Headers],[ID]])</f>
        <v>122</v>
      </c>
      <c r="C127" s="105"/>
      <c r="D127" s="105"/>
      <c r="E127" s="6"/>
      <c r="F127" s="53"/>
      <c r="G127" s="66"/>
      <c r="H127" s="26"/>
      <c r="I127" s="26"/>
      <c r="J127" s="25"/>
      <c r="K127" s="25"/>
      <c r="L127" s="26"/>
      <c r="M127" s="5"/>
      <c r="N127" s="26"/>
      <c r="O127" s="26"/>
      <c r="P127" s="26"/>
      <c r="Q127" s="27"/>
      <c r="R127" s="5" t="s">
        <v>618</v>
      </c>
      <c r="S127" s="28"/>
      <c r="T127" s="4"/>
      <c r="U127" s="48"/>
      <c r="V127" s="29"/>
      <c r="W127" s="44"/>
      <c r="X127" s="45"/>
      <c r="Y127" s="40"/>
      <c r="Z127" s="40"/>
      <c r="AA127" s="41"/>
      <c r="AB127" s="45"/>
      <c r="AC127" s="45"/>
    </row>
    <row r="128" spans="2:29" ht="18.5" x14ac:dyDescent="0.4">
      <c r="B128" s="55">
        <f>ROW() - ROW(Table1[[#Headers],[ID]])</f>
        <v>123</v>
      </c>
      <c r="C128" s="105"/>
      <c r="D128" s="105"/>
      <c r="E128" s="6"/>
      <c r="F128" s="53"/>
      <c r="G128" s="66"/>
      <c r="H128" s="26"/>
      <c r="I128" s="26"/>
      <c r="J128" s="25"/>
      <c r="K128" s="25"/>
      <c r="L128" s="26"/>
      <c r="M128" s="5"/>
      <c r="N128" s="26"/>
      <c r="O128" s="26"/>
      <c r="P128" s="26"/>
      <c r="Q128" s="27"/>
      <c r="R128" s="5" t="s">
        <v>618</v>
      </c>
      <c r="S128" s="28"/>
      <c r="T128" s="4"/>
      <c r="U128" s="48"/>
      <c r="V128" s="29"/>
      <c r="W128" s="44"/>
      <c r="X128" s="45"/>
      <c r="Y128" s="40"/>
      <c r="Z128" s="40"/>
      <c r="AA128" s="41"/>
      <c r="AB128" s="45"/>
      <c r="AC128" s="45"/>
    </row>
    <row r="129" spans="2:29" ht="18.5" x14ac:dyDescent="0.4">
      <c r="B129" s="55">
        <f>ROW() - ROW(Table1[[#Headers],[ID]])</f>
        <v>124</v>
      </c>
      <c r="C129" s="105"/>
      <c r="D129" s="105"/>
      <c r="E129" s="6"/>
      <c r="F129" s="53"/>
      <c r="G129" s="66"/>
      <c r="H129" s="26"/>
      <c r="I129" s="26"/>
      <c r="J129" s="25"/>
      <c r="K129" s="25"/>
      <c r="L129" s="26"/>
      <c r="M129" s="5"/>
      <c r="N129" s="26"/>
      <c r="O129" s="26"/>
      <c r="P129" s="26"/>
      <c r="Q129" s="27"/>
      <c r="R129" s="5" t="s">
        <v>618</v>
      </c>
      <c r="S129" s="28"/>
      <c r="T129" s="4"/>
      <c r="U129" s="48"/>
      <c r="V129" s="29"/>
      <c r="W129" s="44"/>
      <c r="X129" s="45"/>
      <c r="Y129" s="40"/>
      <c r="Z129" s="40"/>
      <c r="AA129" s="41"/>
      <c r="AB129" s="45"/>
      <c r="AC129" s="45"/>
    </row>
    <row r="130" spans="2:29" ht="18.5" x14ac:dyDescent="0.4">
      <c r="B130" s="55">
        <f>ROW() - ROW(Table1[[#Headers],[ID]])</f>
        <v>125</v>
      </c>
      <c r="C130" s="105"/>
      <c r="D130" s="105"/>
      <c r="E130" s="6"/>
      <c r="F130" s="53"/>
      <c r="G130" s="66"/>
      <c r="H130" s="26"/>
      <c r="I130" s="26"/>
      <c r="J130" s="25"/>
      <c r="K130" s="25"/>
      <c r="L130" s="26"/>
      <c r="M130" s="5"/>
      <c r="N130" s="26"/>
      <c r="O130" s="26"/>
      <c r="P130" s="26"/>
      <c r="Q130" s="27"/>
      <c r="R130" s="5" t="s">
        <v>618</v>
      </c>
      <c r="S130" s="28"/>
      <c r="T130" s="4"/>
      <c r="U130" s="48"/>
      <c r="V130" s="29"/>
      <c r="W130" s="44"/>
      <c r="X130" s="45"/>
      <c r="Y130" s="40"/>
      <c r="Z130" s="40"/>
      <c r="AA130" s="41"/>
      <c r="AB130" s="45"/>
      <c r="AC130" s="45"/>
    </row>
    <row r="131" spans="2:29" ht="18.5" x14ac:dyDescent="0.4">
      <c r="B131" s="55">
        <f>ROW() - ROW(Table1[[#Headers],[ID]])</f>
        <v>126</v>
      </c>
      <c r="C131" s="105"/>
      <c r="D131" s="105"/>
      <c r="E131" s="6"/>
      <c r="F131" s="53"/>
      <c r="G131" s="66"/>
      <c r="H131" s="26"/>
      <c r="I131" s="26"/>
      <c r="J131" s="25"/>
      <c r="K131" s="25"/>
      <c r="L131" s="26"/>
      <c r="M131" s="5"/>
      <c r="N131" s="26"/>
      <c r="O131" s="26"/>
      <c r="P131" s="26"/>
      <c r="Q131" s="27"/>
      <c r="R131" s="5" t="s">
        <v>618</v>
      </c>
      <c r="S131" s="28"/>
      <c r="T131" s="4"/>
      <c r="U131" s="48"/>
      <c r="V131" s="29"/>
      <c r="W131" s="44"/>
      <c r="X131" s="45"/>
      <c r="Y131" s="40"/>
      <c r="Z131" s="40"/>
      <c r="AA131" s="41"/>
      <c r="AB131" s="45"/>
      <c r="AC131" s="45"/>
    </row>
    <row r="132" spans="2:29" ht="18.5" x14ac:dyDescent="0.4">
      <c r="B132" s="55">
        <f>ROW() - ROW(Table1[[#Headers],[ID]])</f>
        <v>127</v>
      </c>
      <c r="C132" s="105"/>
      <c r="D132" s="105"/>
      <c r="E132" s="6"/>
      <c r="F132" s="53"/>
      <c r="G132" s="66"/>
      <c r="H132" s="26"/>
      <c r="I132" s="26"/>
      <c r="J132" s="25"/>
      <c r="K132" s="25"/>
      <c r="L132" s="26"/>
      <c r="M132" s="5"/>
      <c r="N132" s="26"/>
      <c r="O132" s="26"/>
      <c r="P132" s="26"/>
      <c r="Q132" s="27"/>
      <c r="R132" s="5" t="s">
        <v>618</v>
      </c>
      <c r="S132" s="28"/>
      <c r="T132" s="4"/>
      <c r="U132" s="48"/>
      <c r="V132" s="29"/>
      <c r="W132" s="44"/>
      <c r="X132" s="45"/>
      <c r="Y132" s="40"/>
      <c r="Z132" s="40"/>
      <c r="AA132" s="41"/>
      <c r="AB132" s="45"/>
      <c r="AC132" s="45"/>
    </row>
    <row r="133" spans="2:29" ht="18.5" x14ac:dyDescent="0.4">
      <c r="B133" s="55">
        <f>ROW() - ROW(Table1[[#Headers],[ID]])</f>
        <v>128</v>
      </c>
      <c r="C133" s="105"/>
      <c r="D133" s="105"/>
      <c r="E133" s="6"/>
      <c r="F133" s="53"/>
      <c r="G133" s="66"/>
      <c r="H133" s="26"/>
      <c r="I133" s="26"/>
      <c r="J133" s="25"/>
      <c r="K133" s="25"/>
      <c r="L133" s="26"/>
      <c r="M133" s="5"/>
      <c r="N133" s="26"/>
      <c r="O133" s="26"/>
      <c r="P133" s="26"/>
      <c r="Q133" s="27"/>
      <c r="R133" s="5" t="s">
        <v>618</v>
      </c>
      <c r="S133" s="28"/>
      <c r="T133" s="4"/>
      <c r="U133" s="48"/>
      <c r="V133" s="29"/>
      <c r="W133" s="44"/>
      <c r="X133" s="45"/>
      <c r="Y133" s="40"/>
      <c r="Z133" s="40"/>
      <c r="AA133" s="41"/>
      <c r="AB133" s="45"/>
      <c r="AC133" s="45"/>
    </row>
    <row r="134" spans="2:29" ht="18.5" x14ac:dyDescent="0.4">
      <c r="B134" s="55">
        <f>ROW() - ROW(Table1[[#Headers],[ID]])</f>
        <v>129</v>
      </c>
      <c r="C134" s="105"/>
      <c r="D134" s="105"/>
      <c r="E134" s="6"/>
      <c r="F134" s="53"/>
      <c r="G134" s="66"/>
      <c r="H134" s="26"/>
      <c r="I134" s="26"/>
      <c r="J134" s="25"/>
      <c r="K134" s="25"/>
      <c r="L134" s="26"/>
      <c r="M134" s="5"/>
      <c r="N134" s="26"/>
      <c r="O134" s="26"/>
      <c r="P134" s="26"/>
      <c r="Q134" s="27"/>
      <c r="R134" s="5" t="s">
        <v>618</v>
      </c>
      <c r="S134" s="28"/>
      <c r="T134" s="4"/>
      <c r="U134" s="48"/>
      <c r="V134" s="29"/>
      <c r="W134" s="44"/>
      <c r="X134" s="45"/>
      <c r="Y134" s="40"/>
      <c r="Z134" s="40"/>
      <c r="AA134" s="41"/>
      <c r="AB134" s="45"/>
      <c r="AC134" s="45"/>
    </row>
    <row r="135" spans="2:29" ht="18.5" x14ac:dyDescent="0.4">
      <c r="B135" s="55">
        <f>ROW() - ROW(Table1[[#Headers],[ID]])</f>
        <v>130</v>
      </c>
      <c r="C135" s="105"/>
      <c r="D135" s="105"/>
      <c r="E135" s="6"/>
      <c r="F135" s="53"/>
      <c r="G135" s="66"/>
      <c r="H135" s="26"/>
      <c r="I135" s="26"/>
      <c r="J135" s="25"/>
      <c r="K135" s="25"/>
      <c r="L135" s="26"/>
      <c r="M135" s="5"/>
      <c r="N135" s="26"/>
      <c r="O135" s="26"/>
      <c r="P135" s="26"/>
      <c r="Q135" s="27"/>
      <c r="R135" s="5" t="s">
        <v>618</v>
      </c>
      <c r="S135" s="28"/>
      <c r="T135" s="4"/>
      <c r="U135" s="48"/>
      <c r="V135" s="29"/>
      <c r="W135" s="44"/>
      <c r="X135" s="45"/>
      <c r="Y135" s="40"/>
      <c r="Z135" s="40"/>
      <c r="AA135" s="41"/>
      <c r="AB135" s="45"/>
      <c r="AC135" s="45"/>
    </row>
    <row r="136" spans="2:29" ht="18.5" x14ac:dyDescent="0.4">
      <c r="B136" s="55">
        <f>ROW() - ROW(Table1[[#Headers],[ID]])</f>
        <v>131</v>
      </c>
      <c r="C136" s="105"/>
      <c r="D136" s="105"/>
      <c r="E136" s="6"/>
      <c r="F136" s="53"/>
      <c r="G136" s="66"/>
      <c r="H136" s="26"/>
      <c r="I136" s="26"/>
      <c r="J136" s="25"/>
      <c r="K136" s="25"/>
      <c r="L136" s="26"/>
      <c r="M136" s="5"/>
      <c r="N136" s="26"/>
      <c r="O136" s="30"/>
      <c r="P136" s="26"/>
      <c r="Q136" s="27"/>
      <c r="R136" s="5" t="s">
        <v>618</v>
      </c>
      <c r="S136" s="28"/>
      <c r="T136" s="4"/>
      <c r="U136" s="48"/>
      <c r="V136" s="29"/>
      <c r="W136" s="44"/>
      <c r="X136" s="45"/>
      <c r="Y136" s="40"/>
      <c r="Z136" s="40"/>
      <c r="AA136" s="41"/>
      <c r="AB136" s="45"/>
      <c r="AC136" s="45"/>
    </row>
    <row r="137" spans="2:29" ht="18.5" x14ac:dyDescent="0.4">
      <c r="B137" s="55">
        <f>ROW() - ROW(Table1[[#Headers],[ID]])</f>
        <v>132</v>
      </c>
      <c r="C137" s="105"/>
      <c r="D137" s="105"/>
      <c r="E137" s="6"/>
      <c r="F137" s="53"/>
      <c r="G137" s="66"/>
      <c r="H137" s="26"/>
      <c r="I137" s="26"/>
      <c r="J137" s="25"/>
      <c r="K137" s="25"/>
      <c r="L137" s="26"/>
      <c r="M137" s="5"/>
      <c r="N137" s="26"/>
      <c r="O137" s="26"/>
      <c r="P137" s="26"/>
      <c r="Q137" s="27"/>
      <c r="R137" s="5" t="s">
        <v>618</v>
      </c>
      <c r="S137" s="28"/>
      <c r="T137" s="4"/>
      <c r="U137" s="48"/>
      <c r="V137" s="29"/>
      <c r="W137" s="44"/>
      <c r="X137" s="45"/>
      <c r="Y137" s="40"/>
      <c r="Z137" s="40"/>
      <c r="AA137" s="41"/>
      <c r="AB137" s="45"/>
      <c r="AC137" s="45"/>
    </row>
    <row r="138" spans="2:29" ht="18.5" x14ac:dyDescent="0.4">
      <c r="B138" s="55">
        <f>ROW() - ROW(Table1[[#Headers],[ID]])</f>
        <v>133</v>
      </c>
      <c r="C138" s="105"/>
      <c r="D138" s="105"/>
      <c r="E138" s="6"/>
      <c r="F138" s="53"/>
      <c r="G138" s="66"/>
      <c r="H138" s="26"/>
      <c r="I138" s="26"/>
      <c r="J138" s="25"/>
      <c r="K138" s="25"/>
      <c r="L138" s="26"/>
      <c r="M138" s="5"/>
      <c r="N138" s="26"/>
      <c r="O138" s="26"/>
      <c r="P138" s="26"/>
      <c r="Q138" s="27"/>
      <c r="R138" s="5" t="s">
        <v>618</v>
      </c>
      <c r="S138" s="28"/>
      <c r="T138" s="4"/>
      <c r="U138" s="48"/>
      <c r="V138" s="29"/>
      <c r="W138" s="44"/>
      <c r="X138" s="45"/>
      <c r="Y138" s="40"/>
      <c r="Z138" s="40"/>
      <c r="AA138" s="41"/>
      <c r="AB138" s="45"/>
      <c r="AC138" s="45"/>
    </row>
    <row r="139" spans="2:29" ht="18.5" x14ac:dyDescent="0.4">
      <c r="B139" s="55">
        <f>ROW() - ROW(Table1[[#Headers],[ID]])</f>
        <v>134</v>
      </c>
      <c r="C139" s="105"/>
      <c r="D139" s="105"/>
      <c r="E139" s="6"/>
      <c r="F139" s="53"/>
      <c r="G139" s="66"/>
      <c r="H139" s="26"/>
      <c r="I139" s="26"/>
      <c r="J139" s="25"/>
      <c r="K139" s="25"/>
      <c r="L139" s="26"/>
      <c r="M139" s="5"/>
      <c r="N139" s="26"/>
      <c r="O139" s="26"/>
      <c r="P139" s="26"/>
      <c r="Q139" s="27"/>
      <c r="R139" s="5" t="s">
        <v>618</v>
      </c>
      <c r="S139" s="28"/>
      <c r="T139" s="4"/>
      <c r="U139" s="48"/>
      <c r="V139" s="29"/>
      <c r="W139" s="44"/>
      <c r="X139" s="45"/>
      <c r="Y139" s="40"/>
      <c r="Z139" s="40"/>
      <c r="AA139" s="41"/>
      <c r="AB139" s="45"/>
      <c r="AC139" s="45"/>
    </row>
    <row r="140" spans="2:29" ht="18.5" x14ac:dyDescent="0.4">
      <c r="B140" s="55">
        <f>ROW() - ROW(Table1[[#Headers],[ID]])</f>
        <v>135</v>
      </c>
      <c r="C140" s="105"/>
      <c r="D140" s="105"/>
      <c r="E140" s="6"/>
      <c r="F140" s="53"/>
      <c r="G140" s="66"/>
      <c r="H140" s="26"/>
      <c r="I140" s="26"/>
      <c r="J140" s="25"/>
      <c r="K140" s="25"/>
      <c r="L140" s="26"/>
      <c r="M140" s="5"/>
      <c r="N140" s="26"/>
      <c r="O140" s="26"/>
      <c r="P140" s="26"/>
      <c r="Q140" s="27"/>
      <c r="R140" s="5" t="s">
        <v>618</v>
      </c>
      <c r="S140" s="28"/>
      <c r="T140" s="4"/>
      <c r="U140" s="48"/>
      <c r="V140" s="29"/>
      <c r="W140" s="44"/>
      <c r="X140" s="45"/>
      <c r="Y140" s="40"/>
      <c r="Z140" s="40"/>
      <c r="AA140" s="41"/>
      <c r="AB140" s="45"/>
      <c r="AC140" s="45"/>
    </row>
    <row r="141" spans="2:29" ht="18.5" x14ac:dyDescent="0.4">
      <c r="B141" s="55">
        <f>ROW() - ROW(Table1[[#Headers],[ID]])</f>
        <v>136</v>
      </c>
      <c r="C141" s="105"/>
      <c r="D141" s="105"/>
      <c r="E141" s="6"/>
      <c r="F141" s="53"/>
      <c r="G141" s="66"/>
      <c r="H141" s="26"/>
      <c r="I141" s="26"/>
      <c r="J141" s="25"/>
      <c r="K141" s="25"/>
      <c r="L141" s="26"/>
      <c r="M141" s="5"/>
      <c r="N141" s="26"/>
      <c r="O141" s="26"/>
      <c r="P141" s="26"/>
      <c r="Q141" s="27"/>
      <c r="R141" s="5" t="s">
        <v>618</v>
      </c>
      <c r="S141" s="28"/>
      <c r="T141" s="4"/>
      <c r="U141" s="48"/>
      <c r="V141" s="29"/>
      <c r="W141" s="44"/>
      <c r="X141" s="45"/>
      <c r="Y141" s="40"/>
      <c r="Z141" s="40"/>
      <c r="AA141" s="41"/>
      <c r="AB141" s="45"/>
      <c r="AC141" s="45"/>
    </row>
    <row r="142" spans="2:29" ht="18.5" x14ac:dyDescent="0.4">
      <c r="B142" s="55">
        <f>ROW() - ROW(Table1[[#Headers],[ID]])</f>
        <v>137</v>
      </c>
      <c r="C142" s="105"/>
      <c r="D142" s="105"/>
      <c r="E142" s="6"/>
      <c r="F142" s="53"/>
      <c r="G142" s="66"/>
      <c r="H142" s="26"/>
      <c r="I142" s="26"/>
      <c r="J142" s="25"/>
      <c r="K142" s="25"/>
      <c r="L142" s="26"/>
      <c r="M142" s="5"/>
      <c r="N142" s="26"/>
      <c r="O142" s="26"/>
      <c r="P142" s="26"/>
      <c r="Q142" s="27"/>
      <c r="R142" s="5" t="s">
        <v>618</v>
      </c>
      <c r="S142" s="28"/>
      <c r="T142" s="4"/>
      <c r="U142" s="48"/>
      <c r="V142" s="29"/>
      <c r="W142" s="44"/>
      <c r="X142" s="45"/>
      <c r="Y142" s="40"/>
      <c r="Z142" s="40"/>
      <c r="AA142" s="41"/>
      <c r="AB142" s="45"/>
      <c r="AC142" s="45"/>
    </row>
    <row r="143" spans="2:29" ht="18.5" x14ac:dyDescent="0.4">
      <c r="B143" s="55">
        <f>ROW() - ROW(Table1[[#Headers],[ID]])</f>
        <v>138</v>
      </c>
      <c r="C143" s="105"/>
      <c r="D143" s="105"/>
      <c r="E143" s="6"/>
      <c r="F143" s="53"/>
      <c r="G143" s="66"/>
      <c r="H143" s="26"/>
      <c r="I143" s="26"/>
      <c r="J143" s="25"/>
      <c r="K143" s="25"/>
      <c r="L143" s="26"/>
      <c r="M143" s="5"/>
      <c r="N143" s="26"/>
      <c r="O143" s="26"/>
      <c r="P143" s="26"/>
      <c r="Q143" s="27"/>
      <c r="R143" s="5" t="s">
        <v>618</v>
      </c>
      <c r="S143" s="28"/>
      <c r="T143" s="4"/>
      <c r="U143" s="48"/>
      <c r="V143" s="29"/>
      <c r="W143" s="44"/>
      <c r="X143" s="45"/>
      <c r="Y143" s="40"/>
      <c r="Z143" s="40"/>
      <c r="AA143" s="41"/>
      <c r="AB143" s="45"/>
      <c r="AC143" s="45"/>
    </row>
    <row r="144" spans="2:29" ht="18.5" x14ac:dyDescent="0.4">
      <c r="B144" s="55">
        <f>ROW() - ROW(Table1[[#Headers],[ID]])</f>
        <v>139</v>
      </c>
      <c r="C144" s="105"/>
      <c r="D144" s="105"/>
      <c r="E144" s="6"/>
      <c r="F144" s="53"/>
      <c r="G144" s="66"/>
      <c r="H144" s="26"/>
      <c r="I144" s="26"/>
      <c r="J144" s="25"/>
      <c r="K144" s="25"/>
      <c r="L144" s="26"/>
      <c r="M144" s="5"/>
      <c r="N144" s="26"/>
      <c r="O144" s="26"/>
      <c r="P144" s="26"/>
      <c r="Q144" s="27"/>
      <c r="R144" s="5" t="s">
        <v>618</v>
      </c>
      <c r="S144" s="28"/>
      <c r="T144" s="4"/>
      <c r="U144" s="48"/>
      <c r="V144" s="29"/>
      <c r="W144" s="44"/>
      <c r="X144" s="45"/>
      <c r="Y144" s="40"/>
      <c r="Z144" s="40"/>
      <c r="AA144" s="41"/>
      <c r="AB144" s="45"/>
      <c r="AC144" s="45"/>
    </row>
    <row r="145" spans="2:29" ht="18.5" x14ac:dyDescent="0.4">
      <c r="B145" s="55">
        <f>ROW() - ROW(Table1[[#Headers],[ID]])</f>
        <v>140</v>
      </c>
      <c r="C145" s="105"/>
      <c r="D145" s="105"/>
      <c r="E145" s="6"/>
      <c r="F145" s="53"/>
      <c r="G145" s="66"/>
      <c r="H145" s="26"/>
      <c r="I145" s="26"/>
      <c r="J145" s="25"/>
      <c r="K145" s="25"/>
      <c r="L145" s="26"/>
      <c r="M145" s="5"/>
      <c r="N145" s="26"/>
      <c r="O145" s="26"/>
      <c r="P145" s="26"/>
      <c r="Q145" s="27"/>
      <c r="R145" s="5" t="s">
        <v>618</v>
      </c>
      <c r="S145" s="28"/>
      <c r="T145" s="4"/>
      <c r="U145" s="48"/>
      <c r="V145" s="29"/>
      <c r="W145" s="44"/>
      <c r="X145" s="45"/>
      <c r="Y145" s="40"/>
      <c r="Z145" s="40"/>
      <c r="AA145" s="41"/>
      <c r="AB145" s="45"/>
      <c r="AC145" s="45"/>
    </row>
    <row r="146" spans="2:29" ht="18.5" x14ac:dyDescent="0.4">
      <c r="B146" s="55">
        <f>ROW() - ROW(Table1[[#Headers],[ID]])</f>
        <v>141</v>
      </c>
      <c r="C146" s="105"/>
      <c r="D146" s="105"/>
      <c r="E146" s="6"/>
      <c r="F146" s="53"/>
      <c r="G146" s="66"/>
      <c r="H146" s="26"/>
      <c r="I146" s="26"/>
      <c r="J146" s="25"/>
      <c r="K146" s="25"/>
      <c r="L146" s="26"/>
      <c r="M146" s="5"/>
      <c r="N146" s="26"/>
      <c r="O146" s="26"/>
      <c r="P146" s="26"/>
      <c r="Q146" s="27"/>
      <c r="R146" s="5" t="s">
        <v>618</v>
      </c>
      <c r="S146" s="28"/>
      <c r="T146" s="4"/>
      <c r="U146" s="48"/>
      <c r="V146" s="29"/>
      <c r="W146" s="44"/>
      <c r="X146" s="45"/>
      <c r="Y146" s="40"/>
      <c r="Z146" s="40"/>
      <c r="AA146" s="41"/>
      <c r="AB146" s="45"/>
      <c r="AC146" s="45"/>
    </row>
    <row r="147" spans="2:29" ht="18.5" x14ac:dyDescent="0.4">
      <c r="B147" s="55">
        <f>ROW() - ROW(Table1[[#Headers],[ID]])</f>
        <v>142</v>
      </c>
      <c r="C147" s="105"/>
      <c r="D147" s="105"/>
      <c r="E147" s="6"/>
      <c r="F147" s="53"/>
      <c r="G147" s="66"/>
      <c r="H147" s="26"/>
      <c r="I147" s="26"/>
      <c r="J147" s="25"/>
      <c r="K147" s="25"/>
      <c r="L147" s="26"/>
      <c r="M147" s="5"/>
      <c r="N147" s="26"/>
      <c r="O147" s="26"/>
      <c r="P147" s="26"/>
      <c r="Q147" s="27"/>
      <c r="R147" s="5" t="s">
        <v>618</v>
      </c>
      <c r="S147" s="28"/>
      <c r="T147" s="4"/>
      <c r="U147" s="48"/>
      <c r="V147" s="29"/>
      <c r="W147" s="44"/>
      <c r="X147" s="45"/>
      <c r="Y147" s="40"/>
      <c r="Z147" s="40"/>
      <c r="AA147" s="41"/>
      <c r="AB147" s="45"/>
      <c r="AC147" s="45"/>
    </row>
    <row r="148" spans="2:29" ht="18.5" x14ac:dyDescent="0.4">
      <c r="B148" s="55">
        <f>ROW() - ROW(Table1[[#Headers],[ID]])</f>
        <v>143</v>
      </c>
      <c r="C148" s="105"/>
      <c r="D148" s="105"/>
      <c r="E148" s="6"/>
      <c r="F148" s="53"/>
      <c r="G148" s="66"/>
      <c r="H148" s="26"/>
      <c r="I148" s="26"/>
      <c r="J148" s="25"/>
      <c r="K148" s="25"/>
      <c r="L148" s="26"/>
      <c r="M148" s="5"/>
      <c r="N148" s="26"/>
      <c r="O148" s="26"/>
      <c r="P148" s="26"/>
      <c r="Q148" s="27"/>
      <c r="R148" s="5" t="s">
        <v>618</v>
      </c>
      <c r="S148" s="28"/>
      <c r="T148" s="4"/>
      <c r="U148" s="48"/>
      <c r="V148" s="29"/>
      <c r="W148" s="44"/>
      <c r="X148" s="45"/>
      <c r="Y148" s="40"/>
      <c r="Z148" s="40"/>
      <c r="AA148" s="41"/>
      <c r="AB148" s="45"/>
      <c r="AC148" s="45"/>
    </row>
    <row r="149" spans="2:29" ht="18.5" x14ac:dyDescent="0.4">
      <c r="B149" s="55">
        <f>ROW() - ROW(Table1[[#Headers],[ID]])</f>
        <v>144</v>
      </c>
      <c r="C149" s="105"/>
      <c r="D149" s="105"/>
      <c r="E149" s="6"/>
      <c r="F149" s="53"/>
      <c r="G149" s="66"/>
      <c r="H149" s="26"/>
      <c r="I149" s="26"/>
      <c r="J149" s="25"/>
      <c r="K149" s="25"/>
      <c r="L149" s="26"/>
      <c r="M149" s="5"/>
      <c r="N149" s="26"/>
      <c r="O149" s="26"/>
      <c r="P149" s="26"/>
      <c r="Q149" s="27"/>
      <c r="R149" s="5" t="s">
        <v>618</v>
      </c>
      <c r="S149" s="28"/>
      <c r="T149" s="4"/>
      <c r="U149" s="48"/>
      <c r="V149" s="29"/>
      <c r="W149" s="44"/>
      <c r="X149" s="45"/>
      <c r="Y149" s="40"/>
      <c r="Z149" s="40"/>
      <c r="AA149" s="41"/>
      <c r="AB149" s="45"/>
      <c r="AC149" s="45"/>
    </row>
    <row r="150" spans="2:29" ht="18.5" x14ac:dyDescent="0.4">
      <c r="B150" s="55">
        <f>ROW() - ROW(Table1[[#Headers],[ID]])</f>
        <v>145</v>
      </c>
      <c r="C150" s="105"/>
      <c r="D150" s="105"/>
      <c r="E150" s="6"/>
      <c r="F150" s="53"/>
      <c r="G150" s="66"/>
      <c r="H150" s="26"/>
      <c r="I150" s="26"/>
      <c r="J150" s="25"/>
      <c r="K150" s="25"/>
      <c r="L150" s="26"/>
      <c r="M150" s="5"/>
      <c r="N150" s="26"/>
      <c r="O150" s="26"/>
      <c r="P150" s="26"/>
      <c r="Q150" s="27"/>
      <c r="R150" s="5" t="s">
        <v>618</v>
      </c>
      <c r="S150" s="28"/>
      <c r="T150" s="4"/>
      <c r="U150" s="48"/>
      <c r="V150" s="29"/>
      <c r="W150" s="44"/>
      <c r="X150" s="45"/>
      <c r="Y150" s="40"/>
      <c r="Z150" s="40"/>
      <c r="AA150" s="41"/>
      <c r="AB150" s="45"/>
      <c r="AC150" s="45"/>
    </row>
    <row r="151" spans="2:29" ht="18.5" x14ac:dyDescent="0.4">
      <c r="B151" s="55">
        <f>ROW() - ROW(Table1[[#Headers],[ID]])</f>
        <v>146</v>
      </c>
      <c r="C151" s="105"/>
      <c r="D151" s="105"/>
      <c r="E151" s="6"/>
      <c r="F151" s="53"/>
      <c r="G151" s="66"/>
      <c r="H151" s="26"/>
      <c r="I151" s="26"/>
      <c r="J151" s="25"/>
      <c r="K151" s="25"/>
      <c r="L151" s="26"/>
      <c r="M151" s="5"/>
      <c r="N151" s="26"/>
      <c r="O151" s="26"/>
      <c r="P151" s="26"/>
      <c r="Q151" s="27"/>
      <c r="R151" s="5" t="s">
        <v>618</v>
      </c>
      <c r="S151" s="28"/>
      <c r="T151" s="4"/>
      <c r="U151" s="48"/>
      <c r="V151" s="29"/>
      <c r="W151" s="44"/>
      <c r="X151" s="45"/>
      <c r="Y151" s="40"/>
      <c r="Z151" s="40"/>
      <c r="AA151" s="41"/>
      <c r="AB151" s="45"/>
      <c r="AC151" s="45"/>
    </row>
    <row r="152" spans="2:29" ht="18.5" x14ac:dyDescent="0.4">
      <c r="B152" s="55">
        <f>ROW() - ROW(Table1[[#Headers],[ID]])</f>
        <v>147</v>
      </c>
      <c r="C152" s="105"/>
      <c r="D152" s="105"/>
      <c r="E152" s="6"/>
      <c r="F152" s="53"/>
      <c r="G152" s="66"/>
      <c r="H152" s="26"/>
      <c r="I152" s="26"/>
      <c r="J152" s="25"/>
      <c r="K152" s="25"/>
      <c r="L152" s="26"/>
      <c r="M152" s="5"/>
      <c r="N152" s="26"/>
      <c r="O152" s="26"/>
      <c r="P152" s="26"/>
      <c r="Q152" s="27"/>
      <c r="R152" s="5" t="s">
        <v>618</v>
      </c>
      <c r="S152" s="28"/>
      <c r="T152" s="4"/>
      <c r="U152" s="48"/>
      <c r="V152" s="29"/>
      <c r="W152" s="44"/>
      <c r="X152" s="45"/>
      <c r="Y152" s="40"/>
      <c r="Z152" s="40"/>
      <c r="AA152" s="41"/>
      <c r="AB152" s="45"/>
      <c r="AC152" s="45"/>
    </row>
    <row r="153" spans="2:29" ht="18.5" x14ac:dyDescent="0.4">
      <c r="B153" s="55">
        <f>ROW() - ROW(Table1[[#Headers],[ID]])</f>
        <v>148</v>
      </c>
      <c r="C153" s="105"/>
      <c r="D153" s="105"/>
      <c r="E153" s="6"/>
      <c r="F153" s="53"/>
      <c r="G153" s="66"/>
      <c r="H153" s="26"/>
      <c r="I153" s="26"/>
      <c r="J153" s="25"/>
      <c r="K153" s="25"/>
      <c r="L153" s="26"/>
      <c r="M153" s="5"/>
      <c r="N153" s="26"/>
      <c r="O153" s="26"/>
      <c r="P153" s="26"/>
      <c r="Q153" s="27"/>
      <c r="R153" s="5" t="s">
        <v>618</v>
      </c>
      <c r="S153" s="28"/>
      <c r="T153" s="4"/>
      <c r="U153" s="48"/>
      <c r="V153" s="29"/>
      <c r="W153" s="44"/>
      <c r="X153" s="45"/>
      <c r="Y153" s="40"/>
      <c r="Z153" s="40"/>
      <c r="AA153" s="41"/>
      <c r="AB153" s="45"/>
      <c r="AC153" s="45"/>
    </row>
    <row r="154" spans="2:29" ht="18.5" x14ac:dyDescent="0.4">
      <c r="B154" s="55">
        <f>ROW() - ROW(Table1[[#Headers],[ID]])</f>
        <v>149</v>
      </c>
      <c r="C154" s="105"/>
      <c r="D154" s="105"/>
      <c r="E154" s="6"/>
      <c r="F154" s="53"/>
      <c r="G154" s="66"/>
      <c r="H154" s="26"/>
      <c r="I154" s="26"/>
      <c r="J154" s="25"/>
      <c r="K154" s="25"/>
      <c r="L154" s="26"/>
      <c r="M154" s="5"/>
      <c r="N154" s="26"/>
      <c r="O154" s="26"/>
      <c r="P154" s="26"/>
      <c r="Q154" s="27"/>
      <c r="R154" s="5" t="s">
        <v>618</v>
      </c>
      <c r="S154" s="28"/>
      <c r="T154" s="4"/>
      <c r="U154" s="48"/>
      <c r="V154" s="29"/>
      <c r="W154" s="44"/>
      <c r="X154" s="45"/>
      <c r="Y154" s="40"/>
      <c r="Z154" s="40"/>
      <c r="AA154" s="41"/>
      <c r="AB154" s="45"/>
      <c r="AC154" s="45"/>
    </row>
    <row r="155" spans="2:29" ht="18.5" x14ac:dyDescent="0.4">
      <c r="B155" s="55">
        <f>ROW() - ROW(Table1[[#Headers],[ID]])</f>
        <v>150</v>
      </c>
      <c r="C155" s="105"/>
      <c r="D155" s="105"/>
      <c r="E155" s="6"/>
      <c r="F155" s="53"/>
      <c r="G155" s="66"/>
      <c r="H155" s="26"/>
      <c r="I155" s="26"/>
      <c r="J155" s="25"/>
      <c r="K155" s="25"/>
      <c r="L155" s="26"/>
      <c r="M155" s="5"/>
      <c r="N155" s="26"/>
      <c r="O155" s="26"/>
      <c r="P155" s="26"/>
      <c r="Q155" s="27"/>
      <c r="R155" s="5" t="s">
        <v>618</v>
      </c>
      <c r="S155" s="28"/>
      <c r="T155" s="4"/>
      <c r="U155" s="48"/>
      <c r="V155" s="29"/>
      <c r="W155" s="44"/>
      <c r="X155" s="45"/>
      <c r="Y155" s="40"/>
      <c r="Z155" s="40"/>
      <c r="AA155" s="41"/>
      <c r="AB155" s="45"/>
      <c r="AC155" s="45"/>
    </row>
    <row r="156" spans="2:29" ht="18.5" x14ac:dyDescent="0.4">
      <c r="B156" s="55">
        <f>ROW() - ROW(Table1[[#Headers],[ID]])</f>
        <v>151</v>
      </c>
      <c r="C156" s="105"/>
      <c r="D156" s="105"/>
      <c r="E156" s="6"/>
      <c r="F156" s="53"/>
      <c r="G156" s="66"/>
      <c r="H156" s="26"/>
      <c r="I156" s="26"/>
      <c r="J156" s="25"/>
      <c r="K156" s="25"/>
      <c r="L156" s="26"/>
      <c r="M156" s="5"/>
      <c r="N156" s="26"/>
      <c r="O156" s="26"/>
      <c r="P156" s="26"/>
      <c r="Q156" s="27"/>
      <c r="R156" s="5" t="s">
        <v>618</v>
      </c>
      <c r="S156" s="28"/>
      <c r="T156" s="4"/>
      <c r="U156" s="48"/>
      <c r="V156" s="29"/>
      <c r="W156" s="44"/>
      <c r="X156" s="45"/>
      <c r="Y156" s="40"/>
      <c r="Z156" s="40"/>
      <c r="AA156" s="41"/>
      <c r="AB156" s="45"/>
      <c r="AC156" s="45"/>
    </row>
    <row r="157" spans="2:29" ht="18.5" x14ac:dyDescent="0.4">
      <c r="B157" s="55">
        <f>ROW() - ROW(Table1[[#Headers],[ID]])</f>
        <v>152</v>
      </c>
      <c r="C157" s="105"/>
      <c r="D157" s="105"/>
      <c r="E157" s="6"/>
      <c r="F157" s="53"/>
      <c r="G157" s="66"/>
      <c r="H157" s="26"/>
      <c r="I157" s="26"/>
      <c r="J157" s="25"/>
      <c r="K157" s="25"/>
      <c r="L157" s="26"/>
      <c r="M157" s="5"/>
      <c r="N157" s="26"/>
      <c r="O157" s="26"/>
      <c r="P157" s="26"/>
      <c r="Q157" s="27"/>
      <c r="R157" s="5" t="s">
        <v>618</v>
      </c>
      <c r="S157" s="28"/>
      <c r="T157" s="4"/>
      <c r="U157" s="48"/>
      <c r="V157" s="29"/>
      <c r="W157" s="44"/>
      <c r="X157" s="45"/>
      <c r="Y157" s="40"/>
      <c r="Z157" s="40"/>
      <c r="AA157" s="41"/>
      <c r="AB157" s="45"/>
      <c r="AC157" s="45"/>
    </row>
    <row r="158" spans="2:29" ht="18.5" x14ac:dyDescent="0.4">
      <c r="B158" s="55">
        <f>ROW() - ROW(Table1[[#Headers],[ID]])</f>
        <v>153</v>
      </c>
      <c r="C158" s="105"/>
      <c r="D158" s="105"/>
      <c r="E158" s="6"/>
      <c r="F158" s="53"/>
      <c r="G158" s="66"/>
      <c r="H158" s="26"/>
      <c r="I158" s="26"/>
      <c r="J158" s="25"/>
      <c r="K158" s="25"/>
      <c r="L158" s="26"/>
      <c r="M158" s="5"/>
      <c r="N158" s="26"/>
      <c r="O158" s="26"/>
      <c r="P158" s="26"/>
      <c r="Q158" s="27"/>
      <c r="R158" s="5" t="s">
        <v>618</v>
      </c>
      <c r="S158" s="28"/>
      <c r="T158" s="4"/>
      <c r="U158" s="48"/>
      <c r="V158" s="29"/>
      <c r="W158" s="44"/>
      <c r="X158" s="45"/>
      <c r="Y158" s="40"/>
      <c r="Z158" s="40"/>
      <c r="AA158" s="41"/>
      <c r="AB158" s="45"/>
      <c r="AC158" s="45"/>
    </row>
    <row r="159" spans="2:29" ht="18.5" x14ac:dyDescent="0.4">
      <c r="B159" s="55">
        <f>ROW() - ROW(Table1[[#Headers],[ID]])</f>
        <v>154</v>
      </c>
      <c r="C159" s="105"/>
      <c r="D159" s="105"/>
      <c r="E159" s="6"/>
      <c r="F159" s="53"/>
      <c r="G159" s="66"/>
      <c r="H159" s="26"/>
      <c r="I159" s="26"/>
      <c r="J159" s="25"/>
      <c r="K159" s="25"/>
      <c r="L159" s="26"/>
      <c r="M159" s="5"/>
      <c r="N159" s="26"/>
      <c r="O159" s="26"/>
      <c r="P159" s="26"/>
      <c r="Q159" s="27"/>
      <c r="R159" s="5" t="s">
        <v>618</v>
      </c>
      <c r="S159" s="28"/>
      <c r="T159" s="4"/>
      <c r="U159" s="48"/>
      <c r="V159" s="29"/>
      <c r="W159" s="44"/>
      <c r="X159" s="45"/>
      <c r="Y159" s="40"/>
      <c r="Z159" s="40"/>
      <c r="AA159" s="41"/>
      <c r="AB159" s="45"/>
      <c r="AC159" s="45"/>
    </row>
    <row r="160" spans="2:29" ht="18.5" x14ac:dyDescent="0.4">
      <c r="B160" s="55">
        <f>ROW() - ROW(Table1[[#Headers],[ID]])</f>
        <v>155</v>
      </c>
      <c r="C160" s="105"/>
      <c r="D160" s="105"/>
      <c r="E160" s="6"/>
      <c r="F160" s="53"/>
      <c r="G160" s="66"/>
      <c r="H160" s="26"/>
      <c r="I160" s="26"/>
      <c r="J160" s="25"/>
      <c r="K160" s="25"/>
      <c r="L160" s="26"/>
      <c r="M160" s="5"/>
      <c r="N160" s="26"/>
      <c r="O160" s="26"/>
      <c r="P160" s="26"/>
      <c r="Q160" s="27"/>
      <c r="R160" s="5" t="s">
        <v>618</v>
      </c>
      <c r="S160" s="28"/>
      <c r="T160" s="4"/>
      <c r="U160" s="48"/>
      <c r="V160" s="29"/>
      <c r="W160" s="44"/>
      <c r="X160" s="45"/>
      <c r="Y160" s="40"/>
      <c r="Z160" s="40"/>
      <c r="AA160" s="41"/>
      <c r="AB160" s="45"/>
      <c r="AC160" s="45"/>
    </row>
    <row r="161" spans="2:29" ht="18.5" x14ac:dyDescent="0.4">
      <c r="B161" s="55">
        <f>ROW() - ROW(Table1[[#Headers],[ID]])</f>
        <v>156</v>
      </c>
      <c r="C161" s="105"/>
      <c r="D161" s="105"/>
      <c r="E161" s="6"/>
      <c r="F161" s="53"/>
      <c r="G161" s="66"/>
      <c r="H161" s="26"/>
      <c r="I161" s="26"/>
      <c r="J161" s="25"/>
      <c r="K161" s="25"/>
      <c r="L161" s="26"/>
      <c r="M161" s="5"/>
      <c r="N161" s="26"/>
      <c r="O161" s="26"/>
      <c r="P161" s="26"/>
      <c r="Q161" s="27"/>
      <c r="R161" s="5" t="s">
        <v>618</v>
      </c>
      <c r="S161" s="28"/>
      <c r="T161" s="4"/>
      <c r="U161" s="48"/>
      <c r="V161" s="29"/>
      <c r="W161" s="44"/>
      <c r="X161" s="45"/>
      <c r="Y161" s="40"/>
      <c r="Z161" s="40"/>
      <c r="AA161" s="41"/>
      <c r="AB161" s="45"/>
      <c r="AC161" s="45"/>
    </row>
    <row r="162" spans="2:29" ht="18.5" x14ac:dyDescent="0.4">
      <c r="B162" s="55">
        <f>ROW() - ROW(Table1[[#Headers],[ID]])</f>
        <v>157</v>
      </c>
      <c r="C162" s="105"/>
      <c r="D162" s="105"/>
      <c r="E162" s="6"/>
      <c r="F162" s="53"/>
      <c r="G162" s="66"/>
      <c r="H162" s="26"/>
      <c r="I162" s="26"/>
      <c r="J162" s="25"/>
      <c r="K162" s="25"/>
      <c r="L162" s="26"/>
      <c r="M162" s="5"/>
      <c r="N162" s="26"/>
      <c r="O162" s="26"/>
      <c r="P162" s="26"/>
      <c r="Q162" s="27"/>
      <c r="R162" s="5" t="s">
        <v>618</v>
      </c>
      <c r="S162" s="28"/>
      <c r="T162" s="4"/>
      <c r="U162" s="48"/>
      <c r="V162" s="29"/>
      <c r="W162" s="44"/>
      <c r="X162" s="45"/>
      <c r="Y162" s="40"/>
      <c r="Z162" s="40"/>
      <c r="AA162" s="41"/>
      <c r="AB162" s="45"/>
      <c r="AC162" s="45"/>
    </row>
    <row r="163" spans="2:29" ht="18.5" x14ac:dyDescent="0.4">
      <c r="B163" s="55">
        <f>ROW() - ROW(Table1[[#Headers],[ID]])</f>
        <v>158</v>
      </c>
      <c r="C163" s="105"/>
      <c r="D163" s="105"/>
      <c r="E163" s="6"/>
      <c r="F163" s="53"/>
      <c r="G163" s="66"/>
      <c r="H163" s="26"/>
      <c r="I163" s="26"/>
      <c r="J163" s="25"/>
      <c r="K163" s="25"/>
      <c r="L163" s="26"/>
      <c r="M163" s="5"/>
      <c r="N163" s="26"/>
      <c r="O163" s="26"/>
      <c r="P163" s="26"/>
      <c r="Q163" s="27"/>
      <c r="R163" s="5" t="s">
        <v>618</v>
      </c>
      <c r="S163" s="28"/>
      <c r="T163" s="4"/>
      <c r="U163" s="48"/>
      <c r="V163" s="29"/>
      <c r="W163" s="44"/>
      <c r="X163" s="45"/>
      <c r="Y163" s="40"/>
      <c r="Z163" s="40"/>
      <c r="AA163" s="41"/>
      <c r="AB163" s="45"/>
      <c r="AC163" s="45"/>
    </row>
    <row r="164" spans="2:29" ht="18.5" x14ac:dyDescent="0.4">
      <c r="B164" s="55">
        <f>ROW() - ROW(Table1[[#Headers],[ID]])</f>
        <v>159</v>
      </c>
      <c r="C164" s="105"/>
      <c r="D164" s="105"/>
      <c r="E164" s="6"/>
      <c r="F164" s="53"/>
      <c r="G164" s="66"/>
      <c r="H164" s="26"/>
      <c r="I164" s="26"/>
      <c r="J164" s="25"/>
      <c r="K164" s="25"/>
      <c r="L164" s="26"/>
      <c r="M164" s="5"/>
      <c r="N164" s="26"/>
      <c r="O164" s="26"/>
      <c r="P164" s="26"/>
      <c r="Q164" s="27"/>
      <c r="R164" s="5" t="s">
        <v>618</v>
      </c>
      <c r="S164" s="28"/>
      <c r="T164" s="4"/>
      <c r="U164" s="48"/>
      <c r="V164" s="29"/>
      <c r="W164" s="44"/>
      <c r="X164" s="45"/>
      <c r="Y164" s="40"/>
      <c r="Z164" s="40"/>
      <c r="AA164" s="41"/>
      <c r="AB164" s="45"/>
      <c r="AC164" s="45"/>
    </row>
    <row r="165" spans="2:29" ht="18.5" x14ac:dyDescent="0.4">
      <c r="B165" s="55">
        <f>ROW() - ROW(Table1[[#Headers],[ID]])</f>
        <v>160</v>
      </c>
      <c r="C165" s="105"/>
      <c r="D165" s="105"/>
      <c r="E165" s="6"/>
      <c r="F165" s="53"/>
      <c r="G165" s="66"/>
      <c r="H165" s="26"/>
      <c r="I165" s="26"/>
      <c r="J165" s="25"/>
      <c r="K165" s="25"/>
      <c r="L165" s="26"/>
      <c r="M165" s="5"/>
      <c r="N165" s="26"/>
      <c r="O165" s="26"/>
      <c r="P165" s="26"/>
      <c r="Q165" s="27"/>
      <c r="R165" s="5" t="s">
        <v>618</v>
      </c>
      <c r="S165" s="28"/>
      <c r="T165" s="4"/>
      <c r="U165" s="48"/>
      <c r="V165" s="29"/>
      <c r="W165" s="44"/>
      <c r="X165" s="45"/>
      <c r="Y165" s="40"/>
      <c r="Z165" s="40"/>
      <c r="AA165" s="41"/>
      <c r="AB165" s="45"/>
      <c r="AC165" s="45"/>
    </row>
    <row r="166" spans="2:29" ht="18.5" x14ac:dyDescent="0.4">
      <c r="B166" s="55">
        <f>ROW() - ROW(Table1[[#Headers],[ID]])</f>
        <v>161</v>
      </c>
      <c r="C166" s="105"/>
      <c r="D166" s="105"/>
      <c r="E166" s="6"/>
      <c r="F166" s="53"/>
      <c r="G166" s="66"/>
      <c r="H166" s="26"/>
      <c r="I166" s="26"/>
      <c r="J166" s="25"/>
      <c r="K166" s="25"/>
      <c r="L166" s="26"/>
      <c r="M166" s="5"/>
      <c r="N166" s="26"/>
      <c r="O166" s="26"/>
      <c r="P166" s="26"/>
      <c r="Q166" s="27"/>
      <c r="R166" s="5" t="s">
        <v>618</v>
      </c>
      <c r="S166" s="28"/>
      <c r="T166" s="4"/>
      <c r="U166" s="48"/>
      <c r="V166" s="29"/>
      <c r="W166" s="44"/>
      <c r="X166" s="45"/>
      <c r="Y166" s="40"/>
      <c r="Z166" s="40"/>
      <c r="AA166" s="41"/>
      <c r="AB166" s="45"/>
      <c r="AC166" s="45"/>
    </row>
    <row r="167" spans="2:29" ht="18.5" x14ac:dyDescent="0.4">
      <c r="B167" s="55">
        <f>ROW() - ROW(Table1[[#Headers],[ID]])</f>
        <v>162</v>
      </c>
      <c r="C167" s="105"/>
      <c r="D167" s="105"/>
      <c r="E167" s="6"/>
      <c r="F167" s="53"/>
      <c r="G167" s="66"/>
      <c r="H167" s="26"/>
      <c r="I167" s="26"/>
      <c r="J167" s="25"/>
      <c r="K167" s="25"/>
      <c r="L167" s="26"/>
      <c r="M167" s="5"/>
      <c r="N167" s="26"/>
      <c r="O167" s="26"/>
      <c r="P167" s="26"/>
      <c r="Q167" s="27"/>
      <c r="R167" s="5" t="s">
        <v>618</v>
      </c>
      <c r="S167" s="28"/>
      <c r="T167" s="4"/>
      <c r="U167" s="48"/>
      <c r="V167" s="29"/>
      <c r="W167" s="44"/>
      <c r="X167" s="45"/>
      <c r="Y167" s="40"/>
      <c r="Z167" s="40"/>
      <c r="AA167" s="41"/>
      <c r="AB167" s="45"/>
      <c r="AC167" s="45"/>
    </row>
    <row r="168" spans="2:29" ht="18.5" x14ac:dyDescent="0.4">
      <c r="B168" s="55">
        <f>ROW() - ROW(Table1[[#Headers],[ID]])</f>
        <v>163</v>
      </c>
      <c r="C168" s="105"/>
      <c r="D168" s="105"/>
      <c r="E168" s="6"/>
      <c r="F168" s="53"/>
      <c r="G168" s="66"/>
      <c r="H168" s="26"/>
      <c r="I168" s="26"/>
      <c r="J168" s="25"/>
      <c r="K168" s="25"/>
      <c r="L168" s="26"/>
      <c r="M168" s="5"/>
      <c r="N168" s="26"/>
      <c r="O168" s="26"/>
      <c r="P168" s="26"/>
      <c r="Q168" s="27"/>
      <c r="R168" s="5" t="s">
        <v>618</v>
      </c>
      <c r="S168" s="28"/>
      <c r="T168" s="4"/>
      <c r="U168" s="48"/>
      <c r="V168" s="29"/>
      <c r="W168" s="44"/>
      <c r="X168" s="45"/>
      <c r="Y168" s="40"/>
      <c r="Z168" s="40"/>
      <c r="AA168" s="41"/>
      <c r="AB168" s="45"/>
      <c r="AC168" s="45"/>
    </row>
    <row r="169" spans="2:29" ht="18.5" x14ac:dyDescent="0.4">
      <c r="B169" s="55">
        <f>ROW() - ROW(Table1[[#Headers],[ID]])</f>
        <v>164</v>
      </c>
      <c r="C169" s="105"/>
      <c r="D169" s="105"/>
      <c r="E169" s="6"/>
      <c r="F169" s="53"/>
      <c r="G169" s="66"/>
      <c r="H169" s="26"/>
      <c r="I169" s="26"/>
      <c r="J169" s="25"/>
      <c r="K169" s="25"/>
      <c r="L169" s="26"/>
      <c r="M169" s="5"/>
      <c r="N169" s="26"/>
      <c r="O169" s="26"/>
      <c r="P169" s="26"/>
      <c r="Q169" s="27"/>
      <c r="R169" s="5" t="s">
        <v>618</v>
      </c>
      <c r="S169" s="28"/>
      <c r="T169" s="4"/>
      <c r="U169" s="48"/>
      <c r="V169" s="29"/>
      <c r="W169" s="44"/>
      <c r="X169" s="45"/>
      <c r="Y169" s="40"/>
      <c r="Z169" s="40"/>
      <c r="AA169" s="41"/>
      <c r="AB169" s="45"/>
      <c r="AC169" s="45"/>
    </row>
    <row r="170" spans="2:29" ht="18.5" x14ac:dyDescent="0.4">
      <c r="B170" s="55">
        <f>ROW() - ROW(Table1[[#Headers],[ID]])</f>
        <v>165</v>
      </c>
      <c r="C170" s="105"/>
      <c r="D170" s="105"/>
      <c r="E170" s="6"/>
      <c r="F170" s="53"/>
      <c r="G170" s="66"/>
      <c r="H170" s="26"/>
      <c r="I170" s="26"/>
      <c r="J170" s="25"/>
      <c r="K170" s="25"/>
      <c r="L170" s="26"/>
      <c r="M170" s="5"/>
      <c r="N170" s="26"/>
      <c r="O170" s="26"/>
      <c r="P170" s="26"/>
      <c r="Q170" s="27"/>
      <c r="R170" s="5" t="s">
        <v>618</v>
      </c>
      <c r="S170" s="28"/>
      <c r="T170" s="4"/>
      <c r="U170" s="48"/>
      <c r="V170" s="29"/>
      <c r="W170" s="44"/>
      <c r="X170" s="45"/>
      <c r="Y170" s="40"/>
      <c r="Z170" s="40"/>
      <c r="AA170" s="41"/>
      <c r="AB170" s="45"/>
      <c r="AC170" s="45"/>
    </row>
    <row r="171" spans="2:29" ht="18.5" x14ac:dyDescent="0.4">
      <c r="B171" s="55">
        <f>ROW() - ROW(Table1[[#Headers],[ID]])</f>
        <v>166</v>
      </c>
      <c r="C171" s="105"/>
      <c r="D171" s="105"/>
      <c r="E171" s="6"/>
      <c r="F171" s="53"/>
      <c r="G171" s="66"/>
      <c r="H171" s="26"/>
      <c r="I171" s="26"/>
      <c r="J171" s="25"/>
      <c r="K171" s="25"/>
      <c r="L171" s="26"/>
      <c r="M171" s="5"/>
      <c r="N171" s="26"/>
      <c r="O171" s="26"/>
      <c r="P171" s="26"/>
      <c r="Q171" s="27"/>
      <c r="R171" s="5" t="s">
        <v>618</v>
      </c>
      <c r="S171" s="28"/>
      <c r="T171" s="4"/>
      <c r="U171" s="48"/>
      <c r="V171" s="29"/>
      <c r="W171" s="44"/>
      <c r="X171" s="45"/>
      <c r="Y171" s="40"/>
      <c r="Z171" s="40"/>
      <c r="AA171" s="41"/>
      <c r="AB171" s="45"/>
      <c r="AC171" s="45"/>
    </row>
    <row r="172" spans="2:29" ht="18.5" x14ac:dyDescent="0.4">
      <c r="B172" s="55">
        <f>ROW() - ROW(Table1[[#Headers],[ID]])</f>
        <v>167</v>
      </c>
      <c r="C172" s="105"/>
      <c r="D172" s="105"/>
      <c r="E172" s="6"/>
      <c r="F172" s="53"/>
      <c r="G172" s="66"/>
      <c r="H172" s="26"/>
      <c r="I172" s="26"/>
      <c r="J172" s="25"/>
      <c r="K172" s="25"/>
      <c r="L172" s="26"/>
      <c r="M172" s="5"/>
      <c r="N172" s="26"/>
      <c r="O172" s="26"/>
      <c r="P172" s="26"/>
      <c r="Q172" s="27"/>
      <c r="R172" s="5" t="s">
        <v>618</v>
      </c>
      <c r="S172" s="28"/>
      <c r="T172" s="4"/>
      <c r="U172" s="48"/>
      <c r="V172" s="29"/>
      <c r="W172" s="44"/>
      <c r="X172" s="45"/>
      <c r="Y172" s="40"/>
      <c r="Z172" s="40"/>
      <c r="AA172" s="41"/>
      <c r="AB172" s="45"/>
      <c r="AC172" s="45"/>
    </row>
    <row r="173" spans="2:29" ht="18.5" x14ac:dyDescent="0.4">
      <c r="B173" s="55">
        <f>ROW() - ROW(Table1[[#Headers],[ID]])</f>
        <v>168</v>
      </c>
      <c r="C173" s="105"/>
      <c r="D173" s="105"/>
      <c r="E173" s="6"/>
      <c r="F173" s="53"/>
      <c r="G173" s="66"/>
      <c r="H173" s="26"/>
      <c r="I173" s="26"/>
      <c r="J173" s="25"/>
      <c r="K173" s="25"/>
      <c r="L173" s="26"/>
      <c r="M173" s="5"/>
      <c r="N173" s="26"/>
      <c r="O173" s="26"/>
      <c r="P173" s="26"/>
      <c r="Q173" s="27"/>
      <c r="R173" s="5" t="s">
        <v>618</v>
      </c>
      <c r="S173" s="28"/>
      <c r="T173" s="4"/>
      <c r="U173" s="48"/>
      <c r="V173" s="29"/>
      <c r="W173" s="44"/>
      <c r="X173" s="45"/>
      <c r="Y173" s="40"/>
      <c r="Z173" s="40"/>
      <c r="AA173" s="41"/>
      <c r="AB173" s="45"/>
      <c r="AC173" s="45"/>
    </row>
    <row r="174" spans="2:29" ht="18.5" x14ac:dyDescent="0.4">
      <c r="B174" s="55">
        <f>ROW() - ROW(Table1[[#Headers],[ID]])</f>
        <v>169</v>
      </c>
      <c r="C174" s="105"/>
      <c r="D174" s="105"/>
      <c r="E174" s="6"/>
      <c r="F174" s="53"/>
      <c r="G174" s="66"/>
      <c r="H174" s="26"/>
      <c r="I174" s="26"/>
      <c r="J174" s="25"/>
      <c r="K174" s="25"/>
      <c r="L174" s="26"/>
      <c r="M174" s="5"/>
      <c r="N174" s="26"/>
      <c r="O174" s="26"/>
      <c r="P174" s="26"/>
      <c r="Q174" s="27"/>
      <c r="R174" s="5" t="s">
        <v>618</v>
      </c>
      <c r="S174" s="28"/>
      <c r="T174" s="4"/>
      <c r="U174" s="48"/>
      <c r="V174" s="29"/>
      <c r="W174" s="44"/>
      <c r="X174" s="45"/>
      <c r="Y174" s="40"/>
      <c r="Z174" s="40"/>
      <c r="AA174" s="41"/>
      <c r="AB174" s="45"/>
      <c r="AC174" s="45"/>
    </row>
    <row r="175" spans="2:29" ht="18.5" x14ac:dyDescent="0.4">
      <c r="B175" s="55">
        <f>ROW() - ROW(Table1[[#Headers],[ID]])</f>
        <v>170</v>
      </c>
      <c r="C175" s="105"/>
      <c r="D175" s="105"/>
      <c r="E175" s="6"/>
      <c r="F175" s="53"/>
      <c r="G175" s="66"/>
      <c r="H175" s="26"/>
      <c r="I175" s="26"/>
      <c r="J175" s="25"/>
      <c r="K175" s="25"/>
      <c r="L175" s="26"/>
      <c r="M175" s="5"/>
      <c r="N175" s="26"/>
      <c r="O175" s="26"/>
      <c r="P175" s="26"/>
      <c r="Q175" s="27"/>
      <c r="R175" s="5" t="s">
        <v>618</v>
      </c>
      <c r="S175" s="28"/>
      <c r="T175" s="4"/>
      <c r="U175" s="48"/>
      <c r="V175" s="29"/>
      <c r="W175" s="44"/>
      <c r="X175" s="45"/>
      <c r="Y175" s="40"/>
      <c r="Z175" s="40"/>
      <c r="AA175" s="41"/>
      <c r="AB175" s="45"/>
      <c r="AC175" s="45"/>
    </row>
    <row r="176" spans="2:29" ht="18.5" x14ac:dyDescent="0.4">
      <c r="B176" s="55">
        <f>ROW() - ROW(Table1[[#Headers],[ID]])</f>
        <v>171</v>
      </c>
      <c r="C176" s="105"/>
      <c r="D176" s="105"/>
      <c r="E176" s="6"/>
      <c r="F176" s="53"/>
      <c r="G176" s="66"/>
      <c r="H176" s="26"/>
      <c r="I176" s="26"/>
      <c r="J176" s="25"/>
      <c r="K176" s="25"/>
      <c r="L176" s="26"/>
      <c r="M176" s="5"/>
      <c r="N176" s="26"/>
      <c r="O176" s="26"/>
      <c r="P176" s="26"/>
      <c r="Q176" s="27"/>
      <c r="R176" s="5" t="s">
        <v>618</v>
      </c>
      <c r="S176" s="28"/>
      <c r="T176" s="4"/>
      <c r="U176" s="48"/>
      <c r="V176" s="29"/>
      <c r="W176" s="44"/>
      <c r="X176" s="45"/>
      <c r="Y176" s="40"/>
      <c r="Z176" s="40"/>
      <c r="AA176" s="41"/>
      <c r="AB176" s="45"/>
      <c r="AC176" s="45"/>
    </row>
    <row r="177" spans="2:29" ht="18.5" x14ac:dyDescent="0.4">
      <c r="B177" s="55">
        <f>ROW() - ROW(Table1[[#Headers],[ID]])</f>
        <v>172</v>
      </c>
      <c r="C177" s="105"/>
      <c r="D177" s="105"/>
      <c r="E177" s="33"/>
      <c r="F177" s="54"/>
      <c r="G177" s="67"/>
      <c r="H177" s="35"/>
      <c r="I177" s="35"/>
      <c r="J177" s="25"/>
      <c r="K177" s="25"/>
      <c r="L177" s="35"/>
      <c r="M177" s="34"/>
      <c r="N177" s="35"/>
      <c r="O177" s="35"/>
      <c r="P177" s="35"/>
      <c r="Q177" s="36"/>
      <c r="R177" s="5" t="s">
        <v>618</v>
      </c>
      <c r="S177" s="37"/>
      <c r="T177" s="38"/>
      <c r="U177" s="56"/>
      <c r="V177" s="39" t="str">
        <f>IF(COUNTA($E177:$U177)=16,"✓ Complete",IF(COUNTA( $E177:$U177)=1,"","⚠ Incomplete - Missing Entries"))</f>
        <v/>
      </c>
      <c r="W177" s="44"/>
      <c r="X177" s="45"/>
      <c r="Y177" s="40" t="str">
        <f>IFERROR(X177/H177, "-")</f>
        <v>-</v>
      </c>
      <c r="Z177" s="40"/>
      <c r="AA177" s="41">
        <f>IF(Table1[[#This Row],[On Hold?]]="Y", (Table1[[#This Row],['# RESOURCES]]-Table1[[#This Row],[Profile Shared]]),0)</f>
        <v>0</v>
      </c>
      <c r="AB177" s="45"/>
      <c r="AC177" s="45"/>
    </row>
    <row r="178" spans="2:29" ht="18.5" x14ac:dyDescent="0.4">
      <c r="B178" s="55">
        <f>ROW() - ROW(Table1[[#Headers],[ID]])</f>
        <v>173</v>
      </c>
      <c r="C178" s="105"/>
      <c r="D178" s="105"/>
      <c r="E178" s="33"/>
      <c r="F178" s="54"/>
      <c r="G178" s="67"/>
      <c r="H178" s="57"/>
      <c r="I178" s="35"/>
      <c r="J178" s="35"/>
      <c r="K178" s="35"/>
      <c r="L178" s="35"/>
      <c r="M178" s="34"/>
      <c r="N178" s="58"/>
      <c r="O178" s="58"/>
      <c r="P178" s="58"/>
      <c r="Q178" s="36"/>
      <c r="R178" s="5" t="s">
        <v>618</v>
      </c>
      <c r="S178" s="37"/>
      <c r="T178" s="38"/>
      <c r="U178" s="56"/>
      <c r="V178" s="39"/>
      <c r="W178" s="59"/>
      <c r="X178" s="60"/>
      <c r="Y178" s="61"/>
      <c r="Z178" s="61"/>
      <c r="AA178" s="62"/>
      <c r="AB178" s="60"/>
      <c r="AC178" s="60"/>
    </row>
    <row r="180" spans="2:29" ht="16" x14ac:dyDescent="0.4">
      <c r="E180" s="2" t="s">
        <v>627</v>
      </c>
      <c r="F180" s="2" t="s">
        <v>627</v>
      </c>
      <c r="H180" s="2" t="s">
        <v>627</v>
      </c>
      <c r="I180" s="2" t="s">
        <v>627</v>
      </c>
      <c r="J180" s="2" t="s">
        <v>627</v>
      </c>
      <c r="K180" s="2" t="s">
        <v>627</v>
      </c>
      <c r="L180" s="2" t="s">
        <v>627</v>
      </c>
      <c r="M180" s="2" t="s">
        <v>627</v>
      </c>
      <c r="N180" s="2" t="s">
        <v>627</v>
      </c>
      <c r="O180" s="2" t="s">
        <v>627</v>
      </c>
      <c r="P180" s="2" t="s">
        <v>627</v>
      </c>
      <c r="Q180" s="2" t="s">
        <v>627</v>
      </c>
      <c r="R180" s="2" t="s">
        <v>627</v>
      </c>
      <c r="S180" s="2" t="s">
        <v>627</v>
      </c>
      <c r="T180" s="2" t="s">
        <v>627</v>
      </c>
      <c r="U180" s="2" t="s">
        <v>627</v>
      </c>
      <c r="V180" s="2" t="s">
        <v>627</v>
      </c>
      <c r="W180" s="2" t="s">
        <v>627</v>
      </c>
      <c r="X180" s="2" t="s">
        <v>627</v>
      </c>
      <c r="Y180" s="2" t="s">
        <v>627</v>
      </c>
      <c r="Z180" s="2" t="s">
        <v>627</v>
      </c>
      <c r="AA180" s="2" t="s">
        <v>627</v>
      </c>
      <c r="AB180" s="2" t="s">
        <v>627</v>
      </c>
      <c r="AC180" s="2" t="s">
        <v>627</v>
      </c>
    </row>
  </sheetData>
  <sheetProtection formatCells="0" formatColumns="0" formatRows="0" insertColumns="0" deleteColumns="0"/>
  <mergeCells count="1">
    <mergeCell ref="E2:V3"/>
  </mergeCells>
  <conditionalFormatting sqref="M26:M63">
    <cfRule type="containsText" dxfId="7" priority="10" operator="containsText" text="Low">
      <formula>NOT(ISERROR(SEARCH("Low",M26)))</formula>
    </cfRule>
    <cfRule type="containsText" dxfId="6" priority="11" operator="containsText" text="Medium">
      <formula>NOT(ISERROR(SEARCH("Medium",M26)))</formula>
    </cfRule>
    <cfRule type="containsText" dxfId="5" priority="12" operator="containsText" text="High">
      <formula>NOT(ISERROR(SEARCH("High",M26)))</formula>
    </cfRule>
  </conditionalFormatting>
  <conditionalFormatting sqref="M6:N25 M64:N178">
    <cfRule type="containsText" dxfId="4" priority="22" operator="containsText" text="Low">
      <formula>NOT(ISERROR(SEARCH("Low",M6)))</formula>
    </cfRule>
    <cfRule type="containsText" dxfId="3" priority="23" operator="containsText" text="Medium">
      <formula>NOT(ISERROR(SEARCH("Medium",M6)))</formula>
    </cfRule>
    <cfRule type="containsText" dxfId="2" priority="24" operator="containsText" text="High">
      <formula>NOT(ISERROR(SEARCH("High",M6)))</formula>
    </cfRule>
  </conditionalFormatting>
  <conditionalFormatting sqref="V6:V39 V41:V178">
    <cfRule type="expression" dxfId="1" priority="17">
      <formula>ISNUMBER(SEARCH("Incomplete",$V6))</formula>
    </cfRule>
    <cfRule type="expression" dxfId="0" priority="18">
      <formula>ISNUMBER(SEARCH("Complete",$V6))</formula>
    </cfRule>
  </conditionalFormatting>
  <conditionalFormatting sqref="Y41:Z178 Y30:Z39 Y29 Y6:Z27">
    <cfRule type="colorScale" priority="195">
      <colorScale>
        <cfvo type="min"/>
        <cfvo type="percentile" val="50"/>
        <cfvo type="max"/>
        <color rgb="FFEDA59A"/>
        <color rgb="FFFFEB84"/>
        <color rgb="FFDAF2D0"/>
      </colorScale>
    </cfRule>
  </conditionalFormatting>
  <dataValidations count="8">
    <dataValidation type="decimal" allowBlank="1" showErrorMessage="1" errorTitle="Invalid Entry" error="Please enter a value as a Percentage (e.g., 50%)" promptTitle="Invalid Entry" prompt="Please enter a value as a Percentage (e.g., 50%)" sqref="Q6:Q178" xr:uid="{54569C87-5674-4D3C-AD5F-891EC6726928}">
      <formula1>0</formula1>
      <formula2>1</formula2>
    </dataValidation>
    <dataValidation type="whole" allowBlank="1" showInputMessage="1" showErrorMessage="1" errorTitle="Invalid Number" error="Please enter a whole number." sqref="H6:L178" xr:uid="{0B612514-C854-124E-B817-74BD1429403A}">
      <formula1>0</formula1>
      <formula2>100</formula2>
    </dataValidation>
    <dataValidation type="list" allowBlank="1" showInputMessage="1" showErrorMessage="1" sqref="T6:T178 M6:M178" xr:uid="{12EB4F9F-F656-4020-903B-DCA40C8CBE2E}">
      <formula1>Request_By</formula1>
    </dataValidation>
    <dataValidation type="custom" allowBlank="1" showInputMessage="1" showErrorMessage="1" errorTitle="Invalid Date" error="Please enter a date after 12/1/2025. Use format: MM/DD/YYYY (e.g., 12/15/2025)" sqref="N6:N178" xr:uid="{B3CC5DA0-C78F-4409-9814-E48B17691048}">
      <formula1>OR(N6="", AND(ISNUMBER(N6), N6&gt;=DATE(2025,12,1)))</formula1>
    </dataValidation>
    <dataValidation type="date" allowBlank="1" showInputMessage="1" showErrorMessage="1" errorTitle="Invalid Date" error="Enter a valid date on or after the Request Date. Format: MM/DD/YYYY" sqref="U6:U178" xr:uid="{6C74199A-BABC-401A-A980-2DF520EF5277}">
      <formula1>46022</formula1>
      <formula2>47848</formula2>
    </dataValidation>
    <dataValidation type="list" allowBlank="1" showInputMessage="1" showErrorMessage="1" sqref="F14:F15 F10:F11 F24:F25 F29:F30 F32:F33 F39:F42 F44:F47 F50:F51 F55:F57 F60:F62 F64:G178" xr:uid="{81C770DB-9FB6-4452-8DE4-FB6BD7FEE049}">
      <formula1>INDIRECT(E10)</formula1>
    </dataValidation>
    <dataValidation type="custom" showInputMessage="1" showErrorMessage="1" errorTitle="Invalid Date" error="Enter a valid date on or after Request Date. If Request Date is blank, please enter it first. Format: MM/DD/YYYY" sqref="O6:O178" xr:uid="{8547EF3B-BB36-4E2B-8BB8-3B47246F6A52}">
      <formula1>OR(ISBLANK(O6), AND(ISNUMBER(N6), ISNUMBER(O6), O6&gt;=N6))</formula1>
    </dataValidation>
    <dataValidation type="custom" showInputMessage="1" showErrorMessage="1" errorTitle="Invalid Date" error="Enter a valid date after Role Start Date. If Role Start Date is blank, please enter it first. Format: MM/DD/YYYY" sqref="P6:P178" xr:uid="{99D7B5AF-629F-4F02-8853-C14371E2A79D}">
      <formula1>AND(ISNUMBER(O6), ISNUMBER(P6), P6&gt;O6)</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2">
        <x14:dataValidation type="list" allowBlank="1" showInputMessage="1" showErrorMessage="1" xr:uid="{5355E057-585E-4CDB-B1B1-E12DD939E342}">
          <x14:formula1>
            <xm:f>'Levels &amp; Tools'!$F$3:$K$3</xm:f>
          </x14:formula1>
          <xm:sqref>E24:E25 E29:E34 E39:E42 E44:E47 E50:E51 E55:E57 E60:E62 E64:E178</xm:sqref>
        </x14:dataValidation>
        <x14:dataValidation type="list" allowBlank="1" showInputMessage="1" showErrorMessage="1" xr:uid="{E71EE6C2-EC33-45BF-BBF2-87C21D01324E}">
          <x14:formula1>
            <xm:f>'Levels &amp; Tools'!$F$3:$L$3</xm:f>
          </x14:formula1>
          <xm:sqref>E36:E38 E6:E23 E26:E28 E43 E48:E49 E52:E54 E58:E59 E63</xm:sqref>
        </x14:dataValidation>
        <x14:dataValidation type="list" allowBlank="1" showInputMessage="1" showErrorMessage="1" xr:uid="{79054A8A-0D34-46FC-A56D-05DD4700CCBE}">
          <x14:formula1>
            <xm:f>'Master Data'!$A$2:$A$10</xm:f>
          </x14:formula1>
          <xm:sqref>G6:G63</xm:sqref>
        </x14:dataValidation>
        <x14:dataValidation type="list" allowBlank="1" showInputMessage="1" showErrorMessage="1" xr:uid="{5DC32D2E-2AA9-4F82-B1A7-96D485990B16}">
          <x14:formula1>
            <xm:f>'Master Data'!$A$20:$A$20</xm:f>
          </x14:formula1>
          <xm:sqref>R6:R178</xm:sqref>
        </x14:dataValidation>
        <x14:dataValidation type="list" allowBlank="1" showInputMessage="1" showErrorMessage="1" xr:uid="{80DD3965-251B-4094-BC07-86D4C4FEF11E}">
          <x14:formula1>
            <xm:f>'Levels &amp; Tools'!$L:$L</xm:f>
          </x14:formula1>
          <xm:sqref>F6 F16 F63</xm:sqref>
        </x14:dataValidation>
        <x14:dataValidation type="list" allowBlank="1" showInputMessage="1" showErrorMessage="1" xr:uid="{19A3C75D-700F-46C3-BCFC-7BA0331FB2A9}">
          <x14:formula1>
            <xm:f>'Levels &amp; Tools'!$F:$F</xm:f>
          </x14:formula1>
          <xm:sqref>F7 F17 F26 F36 F48 F52</xm:sqref>
        </x14:dataValidation>
        <x14:dataValidation type="list" allowBlank="1" showInputMessage="1" showErrorMessage="1" xr:uid="{B3085A99-C56C-437D-A633-82C95E017D48}">
          <x14:formula1>
            <xm:f>'Levels &amp; Tools'!$G:$G</xm:f>
          </x14:formula1>
          <xm:sqref>F8 F18 F27 F37 F49 F53 F58</xm:sqref>
        </x14:dataValidation>
        <x14:dataValidation type="list" allowBlank="1" showInputMessage="1" showErrorMessage="1" xr:uid="{8C8E327D-65C5-4533-A5CD-646FE1AD81D9}">
          <x14:formula1>
            <xm:f>'Levels &amp; Tools'!$H$4:$H$8</xm:f>
          </x14:formula1>
          <xm:sqref>F9 F28 F19 F38 F43 F54 F59</xm:sqref>
        </x14:dataValidation>
        <x14:dataValidation type="list" allowBlank="1" showInputMessage="1" showErrorMessage="1" xr:uid="{38D17BD8-2E8C-46E0-A63F-2E3B052D33AD}">
          <x14:formula1>
            <xm:f>'Levels &amp; Tools'!$K$4:$K$8</xm:f>
          </x14:formula1>
          <xm:sqref>F20:F21</xm:sqref>
        </x14:dataValidation>
        <x14:dataValidation type="list" allowBlank="1" showInputMessage="1" showErrorMessage="1" xr:uid="{ACB77D71-2C7E-415F-B3D1-9A998FC23916}">
          <x14:formula1>
            <xm:f>'Levels &amp; Tools'!$I$4:$I$8</xm:f>
          </x14:formula1>
          <xm:sqref>F22:F23 F12:F13 F31 F34</xm:sqref>
        </x14:dataValidation>
        <x14:dataValidation type="list" allowBlank="1" showInputMessage="1" showErrorMessage="1" xr:uid="{0B087F35-F8D0-44DE-BE35-19EFAAD5A372}">
          <x14:formula1>
            <xm:f>'Levels &amp; Tools'!$F$3:$M$3</xm:f>
          </x14:formula1>
          <xm:sqref>E35</xm:sqref>
        </x14:dataValidation>
        <x14:dataValidation type="list" allowBlank="1" showInputMessage="1" showErrorMessage="1" xr:uid="{59EB3EB2-A09B-4683-9A2B-7F81E165565E}">
          <x14:formula1>
            <xm:f>'Levels &amp; Tools'!$M$4:$M$7</xm:f>
          </x14:formula1>
          <xm:sqref>F35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E5AF9-9941-4C35-9B17-BEC7EF3DF985}">
  <sheetPr>
    <tabColor theme="5"/>
  </sheetPr>
  <dimension ref="A1:B37"/>
  <sheetViews>
    <sheetView showGridLines="0" zoomScale="70" zoomScaleNormal="70" workbookViewId="0">
      <selection activeCell="A29" sqref="A29"/>
    </sheetView>
  </sheetViews>
  <sheetFormatPr defaultColWidth="10.5" defaultRowHeight="16" x14ac:dyDescent="0.4"/>
  <cols>
    <col min="1" max="1" width="46.5" style="1" bestFit="1" customWidth="1"/>
    <col min="2" max="2" width="35" style="1" bestFit="1" customWidth="1"/>
    <col min="3" max="3" width="34" style="1" bestFit="1" customWidth="1"/>
    <col min="4" max="16384" width="10.5" style="1"/>
  </cols>
  <sheetData>
    <row r="1" spans="1:2" x14ac:dyDescent="0.4">
      <c r="A1" s="15" t="s">
        <v>628</v>
      </c>
    </row>
    <row r="2" spans="1:2" x14ac:dyDescent="0.4">
      <c r="A2" s="1" t="s">
        <v>617</v>
      </c>
    </row>
    <row r="3" spans="1:2" x14ac:dyDescent="0.4">
      <c r="A3" s="1" t="s">
        <v>619</v>
      </c>
    </row>
    <row r="4" spans="1:2" x14ac:dyDescent="0.4">
      <c r="A4" s="1" t="s">
        <v>622</v>
      </c>
    </row>
    <row r="5" spans="1:2" x14ac:dyDescent="0.4">
      <c r="A5" s="1" t="s">
        <v>623</v>
      </c>
    </row>
    <row r="6" spans="1:2" x14ac:dyDescent="0.4">
      <c r="A6" s="1" t="s">
        <v>620</v>
      </c>
      <c r="B6" s="65"/>
    </row>
    <row r="7" spans="1:2" x14ac:dyDescent="0.4">
      <c r="A7" s="1" t="s">
        <v>621</v>
      </c>
    </row>
    <row r="8" spans="1:2" x14ac:dyDescent="0.4">
      <c r="A8" s="1" t="s">
        <v>625</v>
      </c>
      <c r="B8" s="65"/>
    </row>
    <row r="9" spans="1:2" x14ac:dyDescent="0.4">
      <c r="A9" s="1" t="s">
        <v>626</v>
      </c>
      <c r="B9" s="65"/>
    </row>
    <row r="10" spans="1:2" x14ac:dyDescent="0.4">
      <c r="A10" s="1" t="s">
        <v>624</v>
      </c>
    </row>
    <row r="13" spans="1:2" x14ac:dyDescent="0.4">
      <c r="A13" s="15" t="s">
        <v>607</v>
      </c>
    </row>
    <row r="14" spans="1:2" x14ac:dyDescent="0.4">
      <c r="A14" s="1" t="s">
        <v>629</v>
      </c>
    </row>
    <row r="15" spans="1:2" x14ac:dyDescent="0.4">
      <c r="A15" s="1" t="s">
        <v>630</v>
      </c>
    </row>
    <row r="16" spans="1:2" x14ac:dyDescent="0.4">
      <c r="A16" s="1" t="s">
        <v>631</v>
      </c>
    </row>
    <row r="19" spans="1:2" x14ac:dyDescent="0.4">
      <c r="A19" s="15" t="s">
        <v>632</v>
      </c>
    </row>
    <row r="20" spans="1:2" x14ac:dyDescent="0.4">
      <c r="A20" s="1" t="s">
        <v>618</v>
      </c>
    </row>
    <row r="23" spans="1:2" x14ac:dyDescent="0.4">
      <c r="A23" s="15" t="s">
        <v>633</v>
      </c>
      <c r="B23" s="15" t="s">
        <v>542</v>
      </c>
    </row>
    <row r="24" spans="1:2" x14ac:dyDescent="0.4">
      <c r="A24" s="9" t="s">
        <v>263</v>
      </c>
      <c r="B24" s="9" t="s">
        <v>634</v>
      </c>
    </row>
    <row r="25" spans="1:2" x14ac:dyDescent="0.4">
      <c r="A25" s="9" t="s">
        <v>635</v>
      </c>
      <c r="B25" s="9" t="s">
        <v>634</v>
      </c>
    </row>
    <row r="26" spans="1:2" x14ac:dyDescent="0.4">
      <c r="A26" s="9" t="s">
        <v>636</v>
      </c>
      <c r="B26" s="9" t="s">
        <v>634</v>
      </c>
    </row>
    <row r="27" spans="1:2" x14ac:dyDescent="0.4">
      <c r="A27" s="9"/>
      <c r="B27" s="9"/>
    </row>
    <row r="28" spans="1:2" x14ac:dyDescent="0.4">
      <c r="A28" s="9"/>
      <c r="B28" s="9"/>
    </row>
    <row r="29" spans="1:2" x14ac:dyDescent="0.4">
      <c r="A29" s="15" t="s">
        <v>637</v>
      </c>
      <c r="B29" s="9"/>
    </row>
    <row r="30" spans="1:2" x14ac:dyDescent="0.4">
      <c r="A30" s="9" t="s">
        <v>638</v>
      </c>
      <c r="B30" s="9"/>
    </row>
    <row r="31" spans="1:2" x14ac:dyDescent="0.4">
      <c r="A31" s="9" t="s">
        <v>151</v>
      </c>
      <c r="B31" s="9"/>
    </row>
    <row r="32" spans="1:2" x14ac:dyDescent="0.4">
      <c r="A32" s="9" t="s">
        <v>639</v>
      </c>
      <c r="B32" s="9"/>
    </row>
    <row r="33" spans="1:1" x14ac:dyDescent="0.4">
      <c r="A33" s="1" t="s">
        <v>142</v>
      </c>
    </row>
    <row r="34" spans="1:1" x14ac:dyDescent="0.4">
      <c r="A34" s="1" t="s">
        <v>294</v>
      </c>
    </row>
    <row r="35" spans="1:1" x14ac:dyDescent="0.4">
      <c r="A35" s="1" t="s">
        <v>640</v>
      </c>
    </row>
    <row r="36" spans="1:1" x14ac:dyDescent="0.4">
      <c r="A36" s="1" t="s">
        <v>641</v>
      </c>
    </row>
    <row r="37" spans="1:1" x14ac:dyDescent="0.4">
      <c r="A37" s="1" t="s">
        <v>146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B4BE4-C8C5-4041-810A-7A7FEB53C740}">
  <sheetPr>
    <tabColor theme="4"/>
  </sheetPr>
  <dimension ref="A1:C13"/>
  <sheetViews>
    <sheetView workbookViewId="0">
      <selection activeCell="E9" sqref="E9"/>
    </sheetView>
  </sheetViews>
  <sheetFormatPr defaultRowHeight="16" x14ac:dyDescent="0.4"/>
  <sheetData>
    <row r="1" spans="1:3" x14ac:dyDescent="0.4">
      <c r="A1" s="103" t="s">
        <v>642</v>
      </c>
      <c r="B1" s="103" t="s">
        <v>643</v>
      </c>
      <c r="C1" s="103" t="s">
        <v>644</v>
      </c>
    </row>
    <row r="2" spans="1:3" x14ac:dyDescent="0.4">
      <c r="A2" s="104" t="s">
        <v>645</v>
      </c>
      <c r="B2" s="104" t="s">
        <v>646</v>
      </c>
      <c r="C2" s="104" t="s">
        <v>647</v>
      </c>
    </row>
    <row r="3" spans="1:3" x14ac:dyDescent="0.4">
      <c r="A3" s="104" t="s">
        <v>648</v>
      </c>
      <c r="B3" s="104" t="s">
        <v>649</v>
      </c>
      <c r="C3" s="104" t="s">
        <v>650</v>
      </c>
    </row>
    <row r="4" spans="1:3" x14ac:dyDescent="0.4">
      <c r="A4" s="104" t="s">
        <v>581</v>
      </c>
      <c r="B4" s="104" t="s">
        <v>651</v>
      </c>
      <c r="C4" s="104" t="s">
        <v>652</v>
      </c>
    </row>
    <row r="5" spans="1:3" x14ac:dyDescent="0.4">
      <c r="A5" s="104" t="s">
        <v>167</v>
      </c>
      <c r="B5" s="104" t="s">
        <v>653</v>
      </c>
      <c r="C5" s="104" t="s">
        <v>654</v>
      </c>
    </row>
    <row r="6" spans="1:3" x14ac:dyDescent="0.4">
      <c r="A6" s="104" t="s">
        <v>655</v>
      </c>
      <c r="B6" s="104" t="s">
        <v>656</v>
      </c>
      <c r="C6" s="104" t="s">
        <v>657</v>
      </c>
    </row>
    <row r="7" spans="1:3" x14ac:dyDescent="0.4">
      <c r="A7" s="104" t="s">
        <v>658</v>
      </c>
      <c r="B7" s="104" t="s">
        <v>659</v>
      </c>
      <c r="C7" s="104" t="s">
        <v>660</v>
      </c>
    </row>
    <row r="8" spans="1:3" x14ac:dyDescent="0.4">
      <c r="A8" s="104" t="s">
        <v>661</v>
      </c>
      <c r="B8" s="104" t="s">
        <v>662</v>
      </c>
      <c r="C8" s="104" t="s">
        <v>663</v>
      </c>
    </row>
    <row r="9" spans="1:3" x14ac:dyDescent="0.4">
      <c r="A9" s="104" t="s">
        <v>188</v>
      </c>
      <c r="B9" s="104" t="s">
        <v>664</v>
      </c>
      <c r="C9" s="104" t="s">
        <v>665</v>
      </c>
    </row>
    <row r="10" spans="1:3" x14ac:dyDescent="0.4">
      <c r="A10" s="104" t="s">
        <v>261</v>
      </c>
      <c r="B10" s="104" t="s">
        <v>666</v>
      </c>
      <c r="C10" s="104" t="s">
        <v>667</v>
      </c>
    </row>
    <row r="11" spans="1:3" x14ac:dyDescent="0.4">
      <c r="A11" s="104" t="s">
        <v>668</v>
      </c>
      <c r="B11" s="104" t="s">
        <v>669</v>
      </c>
      <c r="C11" s="104" t="s">
        <v>670</v>
      </c>
    </row>
    <row r="12" spans="1:3" x14ac:dyDescent="0.4">
      <c r="A12" s="104" t="s">
        <v>463</v>
      </c>
      <c r="B12" s="104" t="s">
        <v>671</v>
      </c>
      <c r="C12" s="104" t="s">
        <v>672</v>
      </c>
    </row>
    <row r="13" spans="1:3" x14ac:dyDescent="0.4">
      <c r="A13" s="104" t="s">
        <v>589</v>
      </c>
      <c r="B13" s="104" t="s">
        <v>673</v>
      </c>
      <c r="C13" s="104" t="s">
        <v>674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DC1A207EA05F4CB766E2B2B726E3A1" ma:contentTypeVersion="3" ma:contentTypeDescription="Create a new document." ma:contentTypeScope="" ma:versionID="41fc991d034356c997ce853fe53687b4">
  <xsd:schema xmlns:xsd="http://www.w3.org/2001/XMLSchema" xmlns:xs="http://www.w3.org/2001/XMLSchema" xmlns:p="http://schemas.microsoft.com/office/2006/metadata/properties" xmlns:ns2="68eff77c-3c97-4cb5-a9ab-7711a8595965" targetNamespace="http://schemas.microsoft.com/office/2006/metadata/properties" ma:root="true" ma:fieldsID="c97d4bf1171bbf34921720a3e669e7c7" ns2:_="">
    <xsd:import namespace="68eff77c-3c97-4cb5-a9ab-7711a859596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eff77c-3c97-4cb5-a9ab-7711a85959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504C89-8F59-433F-8ADB-33E2D220E08B}">
  <ds:schemaRefs>
    <ds:schemaRef ds:uri="http://purl.org/dc/elements/1.1/"/>
    <ds:schemaRef ds:uri="http://purl.org/dc/terms/"/>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68eff77c-3c97-4cb5-a9ab-7711a8595965"/>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DCA039AA-9D9B-4228-B6EA-C501DB40DD1D}">
  <ds:schemaRefs>
    <ds:schemaRef ds:uri="http://schemas.microsoft.com/sharepoint/v3/contenttype/forms"/>
  </ds:schemaRefs>
</ds:datastoreItem>
</file>

<file path=customXml/itemProps3.xml><?xml version="1.0" encoding="utf-8"?>
<ds:datastoreItem xmlns:ds="http://schemas.openxmlformats.org/officeDocument/2006/customXml" ds:itemID="{5315795F-90FA-4F43-B5B9-306FDE0A21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eff77c-3c97-4cb5-a9ab-7711a85959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Privileged" siteId="{36da45f1-dd2c-4d1f-af13-5abe46b99921}" removed="0"/>
  <clbl:label id="{f13457f1-9f99-4bd1-8a1b-8dc4cbad8b34}" enabled="1" method="Standard" siteId="{c1eb5112-7946-4c9d-bc57-40040cfe3a9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Instructions</vt:lpstr>
      <vt:lpstr>Roles Dictionary</vt:lpstr>
      <vt:lpstr>Resource Ramup Plan</vt:lpstr>
      <vt:lpstr>Resource level Tracking</vt:lpstr>
      <vt:lpstr>Dashboard</vt:lpstr>
      <vt:lpstr>Hertz Dashboard</vt:lpstr>
      <vt:lpstr>Levels &amp; Tools</vt:lpstr>
      <vt:lpstr>Resource Request Form</vt:lpstr>
      <vt:lpstr>Master Data</vt:lpstr>
      <vt:lpstr>Propel Level</vt:lpstr>
      <vt:lpstr>AI_Architect</vt:lpstr>
      <vt:lpstr>AI_Engineering_Senior_Manager</vt:lpstr>
      <vt:lpstr>Full_Stack_Engineer</vt:lpstr>
      <vt:lpstr>QA_Engineer</vt:lpstr>
      <vt:lpstr>Request_By</vt:lpstr>
      <vt:lpstr>Role_Title</vt:lpstr>
      <vt:lpstr>Security_Engineer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Arunima</dc:creator>
  <cp:keywords/>
  <dc:description/>
  <cp:lastModifiedBy>Yadav, L Sinchana - Ext</cp:lastModifiedBy>
  <cp:revision/>
  <dcterms:created xsi:type="dcterms:W3CDTF">2025-11-19T19:20:38Z</dcterms:created>
  <dcterms:modified xsi:type="dcterms:W3CDTF">2026-06-20T09:01:46Z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0x010100A1DC1A207EA05F4CB766E2B2B726E3A1</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ies>
</file>